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data\control-narrative-workbench\apps\automation\"/>
    </mc:Choice>
  </mc:AlternateContent>
  <xr:revisionPtr revIDLastSave="0" documentId="13_ncr:1_{102C6611-E43B-4B57-9887-780DAE141C69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Q2" sheetId="1" r:id="rId1"/>
    <sheet name="Q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0" i="3" l="1"/>
  <c r="L69" i="3"/>
  <c r="L68" i="3"/>
  <c r="L67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2" i="3"/>
</calcChain>
</file>

<file path=xl/sharedStrings.xml><?xml version="1.0" encoding="utf-8"?>
<sst xmlns="http://schemas.openxmlformats.org/spreadsheetml/2006/main" count="450" uniqueCount="117">
  <si>
    <t>Title</t>
  </si>
  <si>
    <t>Chapter Characters</t>
  </si>
  <si>
    <t>Control Strategy</t>
  </si>
  <si>
    <t>Function Blocks</t>
  </si>
  <si>
    <t>Functions</t>
  </si>
  <si>
    <t>Variables</t>
  </si>
  <si>
    <t>Data Connections</t>
  </si>
  <si>
    <t>Parameter Data Connections</t>
  </si>
  <si>
    <t>Neutralization Reactor</t>
  </si>
  <si>
    <t>Evaporation and Conditioning</t>
  </si>
  <si>
    <t>Prilling Tower/Granulator</t>
  </si>
  <si>
    <t>Cooling and Coating Circuit</t>
  </si>
  <si>
    <t>Storage and Load-Out</t>
  </si>
  <si>
    <t>Distillation Column (T-101)</t>
  </si>
  <si>
    <t>Reboiler Heat Exchanger (E-106)</t>
  </si>
  <si>
    <t>Overhead Condenser and Accumulator (E-104 and V-104)</t>
  </si>
  <si>
    <t>Duty-Standby</t>
  </si>
  <si>
    <t>Bottoms Product Handling</t>
  </si>
  <si>
    <t>Atmospheric Distillation Unit (ADU)</t>
  </si>
  <si>
    <t>Vacuum Distillation Unit (VDU)</t>
  </si>
  <si>
    <t>Fluid Catalytic Cracking (FCC) Unit</t>
  </si>
  <si>
    <t>Delayed Coking Unit</t>
  </si>
  <si>
    <t>Hydrotreating Units</t>
  </si>
  <si>
    <t>Petroleum Coke Handling System</t>
  </si>
  <si>
    <t>Utilities and Offsites</t>
  </si>
  <si>
    <t>Flare and Relief Systems</t>
  </si>
  <si>
    <t>Seawater and Reservoir Intake Pipelines</t>
  </si>
  <si>
    <t>Intake Screens and Air-Blast Cleaning System</t>
  </si>
  <si>
    <t>Intake Pumps and Sump Pumps</t>
  </si>
  <si>
    <t>Shock Chlorination System</t>
  </si>
  <si>
    <t>Sampling and Bypass Flow Systems</t>
  </si>
  <si>
    <t>Feed-Gas Reception and Pretreatment</t>
  </si>
  <si>
    <t>Acid Gas Removal (Amine Absorber System)</t>
  </si>
  <si>
    <t>Molecular-Sieve Dehydration and Mercury Removal</t>
  </si>
  <si>
    <t>Heavy-Hydrocarbon and NGL Recovery</t>
  </si>
  <si>
    <t>VOTING</t>
  </si>
  <si>
    <t>Liquefaction and Refrigerant System</t>
  </si>
  <si>
    <t>LNG Storage and Ship-Loading</t>
  </si>
  <si>
    <t>2-Phase Separator Control</t>
  </si>
  <si>
    <t>3-Phase Separator Control</t>
  </si>
  <si>
    <t>Oil Tank Control</t>
  </si>
  <si>
    <t>Water Tank and Pump Control</t>
  </si>
  <si>
    <t>Air Compressor Control</t>
  </si>
  <si>
    <t>Wood Handling and Chipping</t>
  </si>
  <si>
    <t>Continuous Digester</t>
  </si>
  <si>
    <t>Washing and Screening</t>
  </si>
  <si>
    <t>Bleaching Towers</t>
  </si>
  <si>
    <t>Refining and Machine Chest</t>
  </si>
  <si>
    <t>Approach Flow and Forming</t>
  </si>
  <si>
    <t>Sinter Plant</t>
  </si>
  <si>
    <t>Coking Facility</t>
  </si>
  <si>
    <t>Blast Furnace</t>
  </si>
  <si>
    <t>Basic Oxygen Furnace (BOF)</t>
  </si>
  <si>
    <t>Secondary Metallurgy</t>
  </si>
  <si>
    <t>Continuous Casting</t>
  </si>
  <si>
    <t>Rolling Mills</t>
  </si>
  <si>
    <t>By-Product Recovery Systems</t>
  </si>
  <si>
    <t>Feed System</t>
  </si>
  <si>
    <t>Column 1 and Reboiler</t>
  </si>
  <si>
    <t>Decanter 1</t>
  </si>
  <si>
    <t>Column 2 and Reboiler</t>
  </si>
  <si>
    <t>Column 3 and Reboiler</t>
  </si>
  <si>
    <t>Decanter 2</t>
  </si>
  <si>
    <t>Condenser Systems</t>
  </si>
  <si>
    <t>Ammonium Nitrates Production</t>
  </si>
  <si>
    <t>Benzene Distillation Column</t>
  </si>
  <si>
    <t>Coking Refinery</t>
  </si>
  <si>
    <t>Desalination Plant Intake System</t>
  </si>
  <si>
    <t>Control Narrative Section</t>
  </si>
  <si>
    <t>LNG (Liquified Natural Gas) Production Train</t>
  </si>
  <si>
    <t>Multi-Phase Separation and Storage System</t>
  </si>
  <si>
    <t>Chemical Pulping and Paper Production</t>
  </si>
  <si>
    <t>Integrated Steel Plant Process</t>
  </si>
  <si>
    <t>Multi-Column Chemical Distillation System</t>
  </si>
  <si>
    <t>Waste Water Treatment Plant</t>
  </si>
  <si>
    <t>Influent &amp; Headworks</t>
  </si>
  <si>
    <t>Primary Treatment</t>
  </si>
  <si>
    <t>Secondary Clarification</t>
  </si>
  <si>
    <t>Disinfection</t>
  </si>
  <si>
    <t>Influent Lift Station</t>
  </si>
  <si>
    <t>Utilities, Chemicals &amp; Controls</t>
  </si>
  <si>
    <t>Sludge/Biosolids Management</t>
  </si>
  <si>
    <t>Water Coalescer Control</t>
  </si>
  <si>
    <t>Press Section</t>
  </si>
  <si>
    <t>Dryer Section</t>
  </si>
  <si>
    <t>Finishing and Winding</t>
  </si>
  <si>
    <t>Q2M4 - GPT-5 - Alarms found vs. Required</t>
  </si>
  <si>
    <t>7/7</t>
  </si>
  <si>
    <t>4/4</t>
  </si>
  <si>
    <t>2/2</t>
  </si>
  <si>
    <t>3/3</t>
  </si>
  <si>
    <t>1/1</t>
  </si>
  <si>
    <t>9/9</t>
  </si>
  <si>
    <t>0/0</t>
  </si>
  <si>
    <t>2/3</t>
  </si>
  <si>
    <t>5/5</t>
  </si>
  <si>
    <t>1/2</t>
  </si>
  <si>
    <t>2/4</t>
  </si>
  <si>
    <t>Q2M4 - GPT-5 - Alarms (%)</t>
  </si>
  <si>
    <t>Q2M3 - GPT-5 - Connections found vs. required</t>
  </si>
  <si>
    <t>Q2M3 - GPT-5 - Connections (%)</t>
  </si>
  <si>
    <t>3/4</t>
  </si>
  <si>
    <t>Q2M2 - GPT-5 - Block Mapping</t>
  </si>
  <si>
    <t xml:space="preserve">Ratio </t>
  </si>
  <si>
    <t xml:space="preserve">Cascade </t>
  </si>
  <si>
    <t xml:space="preserve">PID </t>
  </si>
  <si>
    <t xml:space="preserve">Q2M1 - GPT-5 - Control Strategy </t>
  </si>
  <si>
    <t>Production Plant</t>
  </si>
  <si>
    <t>Total:</t>
  </si>
  <si>
    <t>168/
173</t>
  </si>
  <si>
    <t>Factor</t>
  </si>
  <si>
    <t>Q1M2: Estimated Rework Time (min)</t>
  </si>
  <si>
    <t>Min</t>
  </si>
  <si>
    <t>Max</t>
  </si>
  <si>
    <t>Avg</t>
  </si>
  <si>
    <t>Median</t>
  </si>
  <si>
    <t>204/
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</si>
</sst>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1" fontId="2" fillId="0" borderId="1" xfId="0" applyNumberFormat="1" applyFont="1" applyBorder="1" applyAlignment="1">
      <alignment horizontal="center" textRotation="90"/>
    </xf>
    <xf numFmtId="0" fontId="2" fillId="0" borderId="1" xfId="0" applyFont="1" applyBorder="1" applyAlignment="1">
      <alignment horizontal="center" textRotation="90"/>
    </xf>
    <xf numFmtId="0" fontId="2" fillId="0" borderId="2" xfId="0" applyFont="1" applyBorder="1" applyAlignment="1">
      <alignment horizontal="center" textRotation="90"/>
    </xf>
    <xf numFmtId="164" fontId="2" fillId="0" borderId="1" xfId="0" applyNumberFormat="1" applyFont="1" applyBorder="1" applyAlignment="1">
      <alignment horizontal="center" textRotation="90"/>
    </xf>
    <xf numFmtId="165" fontId="2" fillId="0" borderId="1" xfId="0" applyNumberFormat="1" applyFont="1" applyBorder="1" applyAlignment="1">
      <alignment horizontal="center" textRotation="90"/>
    </xf>
    <xf numFmtId="0" fontId="3" fillId="0" borderId="3" xfId="0" applyFont="1" applyBorder="1" applyAlignment="1">
      <alignment horizontal="center"/>
    </xf>
    <xf numFmtId="0" fontId="3" fillId="0" borderId="14" xfId="0" applyFont="1" applyBorder="1"/>
    <xf numFmtId="0" fontId="3" fillId="0" borderId="0" xfId="0" applyFont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165" fontId="3" fillId="0" borderId="14" xfId="0" applyNumberFormat="1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8" xfId="0" applyFont="1" applyBorder="1"/>
    <xf numFmtId="165" fontId="3" fillId="0" borderId="8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9" xfId="0" applyFont="1" applyBorder="1"/>
    <xf numFmtId="0" fontId="3" fillId="0" borderId="7" xfId="0" applyFont="1" applyBorder="1"/>
    <xf numFmtId="164" fontId="3" fillId="0" borderId="7" xfId="0" applyNumberFormat="1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2" fillId="0" borderId="1" xfId="0" applyFont="1" applyBorder="1" applyAlignment="1">
      <alignment horizontal="center" wrapText="1"/>
    </xf>
    <xf numFmtId="0" fontId="3" fillId="3" borderId="1" xfId="0" applyFont="1" applyFill="1" applyBorder="1"/>
    <xf numFmtId="0" fontId="3" fillId="3" borderId="3" xfId="0" applyFont="1" applyFill="1" applyBorder="1"/>
    <xf numFmtId="0" fontId="3" fillId="3" borderId="15" xfId="0" applyFont="1" applyFill="1" applyBorder="1"/>
    <xf numFmtId="0" fontId="3" fillId="3" borderId="11" xfId="0" applyFont="1" applyFill="1" applyBorder="1"/>
    <xf numFmtId="0" fontId="0" fillId="3" borderId="0" xfId="0" applyFill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vertical="top" wrapText="1"/>
    </xf>
    <xf numFmtId="1" fontId="3" fillId="0" borderId="7" xfId="0" applyNumberFormat="1" applyFont="1" applyBorder="1" applyAlignment="1">
      <alignment horizontal="center" vertical="top"/>
    </xf>
    <xf numFmtId="0" fontId="3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/>
    </xf>
    <xf numFmtId="0" fontId="3" fillId="0" borderId="4" xfId="0" applyFont="1" applyBorder="1" applyAlignment="1">
      <alignment vertical="top"/>
    </xf>
    <xf numFmtId="0" fontId="0" fillId="0" borderId="4" xfId="0" applyBorder="1" applyAlignment="1">
      <alignment vertical="top"/>
    </xf>
    <xf numFmtId="0" fontId="4" fillId="4" borderId="7" xfId="0" applyFont="1" applyFill="1" applyBorder="1" applyAlignment="1">
      <alignment horizontal="right" vertical="top"/>
    </xf>
    <xf numFmtId="0" fontId="0" fillId="3" borderId="0" xfId="0" applyFill="1" applyAlignment="1">
      <alignment vertical="top"/>
    </xf>
    <xf numFmtId="164" fontId="4" fillId="2" borderId="4" xfId="0" applyNumberFormat="1" applyFont="1" applyFill="1" applyBorder="1" applyAlignment="1">
      <alignment horizontal="center" vertical="top"/>
    </xf>
    <xf numFmtId="164" fontId="4" fillId="2" borderId="4" xfId="0" quotePrefix="1" applyNumberFormat="1" applyFont="1" applyFill="1" applyBorder="1" applyAlignment="1">
      <alignment horizontal="center" vertical="top" wrapText="1"/>
    </xf>
    <xf numFmtId="164" fontId="4" fillId="2" borderId="6" xfId="0" applyNumberFormat="1" applyFont="1" applyFill="1" applyBorder="1" applyAlignment="1">
      <alignment horizontal="center" vertical="top"/>
    </xf>
    <xf numFmtId="0" fontId="2" fillId="0" borderId="1" xfId="0" applyFont="1" applyBorder="1" applyAlignment="1">
      <alignment horizontal="left" textRotation="90"/>
    </xf>
    <xf numFmtId="0" fontId="3" fillId="0" borderId="14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7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3" fillId="3" borderId="10" xfId="0" applyFont="1" applyFill="1" applyBorder="1"/>
    <xf numFmtId="0" fontId="0" fillId="0" borderId="13" xfId="0" applyBorder="1"/>
    <xf numFmtId="0" fontId="2" fillId="0" borderId="0" xfId="0" applyFont="1" applyAlignment="1">
      <alignment horizontal="center" textRotation="90"/>
    </xf>
    <xf numFmtId="0" fontId="4" fillId="4" borderId="0" xfId="0" applyFont="1" applyFill="1" applyAlignment="1">
      <alignment horizontal="right" vertical="top"/>
    </xf>
    <xf numFmtId="0" fontId="2" fillId="5" borderId="13" xfId="0" applyFont="1" applyFill="1" applyBorder="1" applyAlignment="1">
      <alignment horizontal="center" textRotation="90"/>
    </xf>
    <xf numFmtId="0" fontId="3" fillId="5" borderId="0" xfId="0" applyFont="1" applyFill="1"/>
    <xf numFmtId="0" fontId="4" fillId="5" borderId="0" xfId="0" applyFont="1" applyFill="1" applyAlignment="1">
      <alignment horizontal="right" vertical="top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center"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0" fontId="3" fillId="0" borderId="5" xfId="0" applyFont="1" applyBorder="1" applyAlignment="1">
      <alignment vertical="top" wrapText="1"/>
    </xf>
    <xf numFmtId="0" fontId="3" fillId="0" borderId="12" xfId="0" applyFont="1" applyBorder="1" applyAlignment="1">
      <alignment vertical="top"/>
    </xf>
    <xf numFmtId="0" fontId="0" fillId="0" borderId="12" xfId="0" applyBorder="1" applyAlignment="1">
      <alignment vertical="top"/>
    </xf>
    <xf numFmtId="0" fontId="3" fillId="0" borderId="12" xfId="0" applyFont="1" applyBorder="1" applyAlignment="1">
      <alignment horizontal="right" vertical="top"/>
    </xf>
    <xf numFmtId="0" fontId="0" fillId="5" borderId="0" xfId="0" applyFill="1"/>
    <xf numFmtId="164" fontId="2" fillId="0" borderId="13" xfId="0" applyNumberFormat="1" applyFont="1" applyBorder="1" applyAlignment="1">
      <alignment horizontal="center" textRotation="90"/>
    </xf>
    <xf numFmtId="0" fontId="1" fillId="0" borderId="0" xfId="0" applyFont="1" applyAlignment="1">
      <alignment horizontal="right"/>
    </xf>
    <xf numFmtId="164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49" fontId="3" fillId="4" borderId="0" xfId="0" applyNumberFormat="1" applyFont="1" applyFill="1" applyAlignment="1">
      <alignment horizontal="center"/>
    </xf>
    <xf numFmtId="165" fontId="3" fillId="4" borderId="8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49" fontId="3" fillId="4" borderId="7" xfId="0" applyNumberFormat="1" applyFont="1" applyFill="1" applyBorder="1" applyAlignment="1">
      <alignment horizontal="center"/>
    </xf>
    <xf numFmtId="165" fontId="3" fillId="4" borderId="9" xfId="0" applyNumberFormat="1" applyFont="1" applyFill="1" applyBorder="1" applyAlignment="1">
      <alignment horizontal="center"/>
    </xf>
    <xf numFmtId="165" fontId="3" fillId="4" borderId="7" xfId="0" applyNumberFormat="1" applyFont="1" applyFill="1" applyBorder="1" applyAlignment="1">
      <alignment horizontal="center"/>
    </xf>
    <xf numFmtId="49" fontId="5" fillId="4" borderId="0" xfId="0" applyNumberFormat="1" applyFont="1" applyFill="1" applyAlignment="1">
      <alignment horizontal="center"/>
    </xf>
    <xf numFmtId="165" fontId="3" fillId="2" borderId="8" xfId="0" applyNumberFormat="1" applyFont="1" applyFill="1" applyBorder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3" fillId="2" borderId="7" xfId="0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6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7"/>
  <sheetViews>
    <sheetView tabSelected="1" topLeftCell="A7" zoomScaleNormal="100" workbookViewId="0">
      <selection activeCell="V33" sqref="V33"/>
    </sheetView>
  </sheetViews>
  <sheetFormatPr defaultRowHeight="15" x14ac:dyDescent="0.25"/>
  <cols>
    <col min="1" max="1" width="12.5703125" style="6" customWidth="1"/>
    <col min="2" max="2" width="3.5703125" style="5" bestFit="1" customWidth="1"/>
    <col min="3" max="3" width="17" customWidth="1"/>
    <col min="4" max="4" width="5" style="1" hidden="1" customWidth="1"/>
    <col min="5" max="5" width="5" style="52" customWidth="1"/>
    <col min="6" max="10" width="2.7109375" customWidth="1"/>
    <col min="11" max="11" width="0.85546875" style="35" customWidth="1"/>
    <col min="12" max="12" width="5.5703125" style="3" bestFit="1" customWidth="1"/>
    <col min="13" max="13" width="5.42578125" style="3" bestFit="1" customWidth="1"/>
    <col min="14" max="14" width="4.85546875" style="1" bestFit="1" customWidth="1"/>
    <col min="15" max="15" width="5.42578125" style="1" bestFit="1" customWidth="1"/>
    <col min="16" max="16" width="4.85546875" style="1" bestFit="1" customWidth="1"/>
    <col min="17" max="17" width="5.42578125" style="4" bestFit="1" customWidth="1"/>
  </cols>
  <sheetData>
    <row r="1" spans="1:17" ht="231" x14ac:dyDescent="0.25">
      <c r="A1" s="30" t="s">
        <v>107</v>
      </c>
      <c r="B1" s="7" t="s">
        <v>68</v>
      </c>
      <c r="C1" s="36" t="s">
        <v>0</v>
      </c>
      <c r="D1" s="8" t="s">
        <v>1</v>
      </c>
      <c r="E1" s="48" t="s">
        <v>2</v>
      </c>
      <c r="F1" s="8" t="s">
        <v>3</v>
      </c>
      <c r="G1" s="8" t="s">
        <v>4</v>
      </c>
      <c r="H1" s="8" t="s">
        <v>5</v>
      </c>
      <c r="I1" s="8" t="s">
        <v>6</v>
      </c>
      <c r="J1" s="9" t="s">
        <v>7</v>
      </c>
      <c r="K1" s="31"/>
      <c r="L1" s="10" t="s">
        <v>106</v>
      </c>
      <c r="M1" s="10" t="s">
        <v>102</v>
      </c>
      <c r="N1" s="8" t="s">
        <v>99</v>
      </c>
      <c r="O1" s="8" t="s">
        <v>100</v>
      </c>
      <c r="P1" s="8" t="s">
        <v>86</v>
      </c>
      <c r="Q1" s="11" t="s">
        <v>98</v>
      </c>
    </row>
    <row r="2" spans="1:17" x14ac:dyDescent="0.25">
      <c r="A2" s="91" t="s">
        <v>64</v>
      </c>
      <c r="B2" s="12">
        <v>2</v>
      </c>
      <c r="C2" s="13" t="s">
        <v>8</v>
      </c>
      <c r="D2" s="12">
        <v>3826</v>
      </c>
      <c r="E2" s="49" t="s">
        <v>103</v>
      </c>
      <c r="F2" s="14">
        <v>11</v>
      </c>
      <c r="G2" s="14">
        <v>3</v>
      </c>
      <c r="H2" s="14">
        <v>11</v>
      </c>
      <c r="I2" s="14">
        <v>32</v>
      </c>
      <c r="J2" s="14">
        <v>24</v>
      </c>
      <c r="K2" s="32"/>
      <c r="L2" s="15">
        <v>100</v>
      </c>
      <c r="M2" s="15">
        <v>100</v>
      </c>
      <c r="N2" s="16" t="s">
        <v>88</v>
      </c>
      <c r="O2" s="15">
        <v>100</v>
      </c>
      <c r="P2" s="17" t="s">
        <v>87</v>
      </c>
      <c r="Q2" s="18">
        <v>100</v>
      </c>
    </row>
    <row r="3" spans="1:17" x14ac:dyDescent="0.25">
      <c r="A3" s="92"/>
      <c r="B3" s="19">
        <v>3</v>
      </c>
      <c r="C3" s="20" t="s">
        <v>9</v>
      </c>
      <c r="D3" s="19">
        <v>4808</v>
      </c>
      <c r="E3" s="29" t="s">
        <v>104</v>
      </c>
      <c r="F3" s="14">
        <v>11</v>
      </c>
      <c r="G3" s="14">
        <v>11</v>
      </c>
      <c r="H3" s="14">
        <v>1</v>
      </c>
      <c r="I3" s="14">
        <v>32</v>
      </c>
      <c r="J3" s="14">
        <v>27</v>
      </c>
      <c r="K3" s="33"/>
      <c r="L3" s="15">
        <v>100</v>
      </c>
      <c r="M3" s="15">
        <v>100</v>
      </c>
      <c r="N3" s="16" t="s">
        <v>88</v>
      </c>
      <c r="O3" s="15">
        <v>100</v>
      </c>
      <c r="P3" s="17" t="s">
        <v>88</v>
      </c>
      <c r="Q3" s="21">
        <v>100</v>
      </c>
    </row>
    <row r="4" spans="1:17" x14ac:dyDescent="0.25">
      <c r="A4" s="92"/>
      <c r="B4" s="19">
        <v>4</v>
      </c>
      <c r="C4" s="20" t="s">
        <v>10</v>
      </c>
      <c r="D4" s="19">
        <v>4762</v>
      </c>
      <c r="E4" s="29" t="s">
        <v>104</v>
      </c>
      <c r="F4" s="14">
        <v>9</v>
      </c>
      <c r="G4" s="14">
        <v>3</v>
      </c>
      <c r="H4" s="14">
        <v>7</v>
      </c>
      <c r="I4" s="14">
        <v>26</v>
      </c>
      <c r="J4" s="14">
        <v>26</v>
      </c>
      <c r="K4" s="33"/>
      <c r="L4" s="15">
        <v>100</v>
      </c>
      <c r="M4" s="15">
        <v>100</v>
      </c>
      <c r="N4" s="16" t="s">
        <v>88</v>
      </c>
      <c r="O4" s="15">
        <v>100</v>
      </c>
      <c r="P4" s="17" t="s">
        <v>89</v>
      </c>
      <c r="Q4" s="21">
        <v>100</v>
      </c>
    </row>
    <row r="5" spans="1:17" x14ac:dyDescent="0.25">
      <c r="A5" s="92"/>
      <c r="B5" s="19">
        <v>5</v>
      </c>
      <c r="C5" s="20" t="s">
        <v>11</v>
      </c>
      <c r="D5" s="19">
        <v>4378</v>
      </c>
      <c r="E5" s="29" t="s">
        <v>104</v>
      </c>
      <c r="F5" s="14">
        <v>8</v>
      </c>
      <c r="G5" s="14">
        <v>12</v>
      </c>
      <c r="H5" s="14">
        <v>5</v>
      </c>
      <c r="I5" s="14">
        <v>33</v>
      </c>
      <c r="J5" s="14">
        <v>27</v>
      </c>
      <c r="K5" s="33"/>
      <c r="L5" s="15">
        <v>100</v>
      </c>
      <c r="M5" s="15">
        <v>100</v>
      </c>
      <c r="N5" s="16" t="s">
        <v>88</v>
      </c>
      <c r="O5" s="15">
        <v>100</v>
      </c>
      <c r="P5" s="17" t="s">
        <v>88</v>
      </c>
      <c r="Q5" s="21">
        <v>100</v>
      </c>
    </row>
    <row r="6" spans="1:17" x14ac:dyDescent="0.25">
      <c r="A6" s="93"/>
      <c r="B6" s="22">
        <v>6</v>
      </c>
      <c r="C6" s="23" t="s">
        <v>12</v>
      </c>
      <c r="D6" s="22">
        <v>4408</v>
      </c>
      <c r="E6" s="50" t="s">
        <v>103</v>
      </c>
      <c r="F6" s="24">
        <v>7</v>
      </c>
      <c r="G6" s="24">
        <v>14</v>
      </c>
      <c r="H6" s="24">
        <v>4</v>
      </c>
      <c r="I6" s="24">
        <v>32</v>
      </c>
      <c r="J6" s="24">
        <v>21</v>
      </c>
      <c r="K6" s="34"/>
      <c r="L6" s="25">
        <v>100</v>
      </c>
      <c r="M6" s="25">
        <v>100</v>
      </c>
      <c r="N6" s="86" t="s">
        <v>101</v>
      </c>
      <c r="O6" s="87">
        <v>75</v>
      </c>
      <c r="P6" s="26" t="s">
        <v>90</v>
      </c>
      <c r="Q6" s="27">
        <v>100</v>
      </c>
    </row>
    <row r="7" spans="1:17" x14ac:dyDescent="0.25">
      <c r="A7" s="88" t="s">
        <v>65</v>
      </c>
      <c r="B7" s="19">
        <v>2</v>
      </c>
      <c r="C7" s="20" t="s">
        <v>13</v>
      </c>
      <c r="D7" s="19">
        <v>3752</v>
      </c>
      <c r="E7" s="29" t="s">
        <v>105</v>
      </c>
      <c r="F7" s="14">
        <v>8</v>
      </c>
      <c r="G7" s="14">
        <v>3</v>
      </c>
      <c r="H7" s="14">
        <v>5</v>
      </c>
      <c r="I7" s="14">
        <v>21</v>
      </c>
      <c r="J7" s="14">
        <v>17</v>
      </c>
      <c r="K7" s="33"/>
      <c r="L7" s="15">
        <v>100</v>
      </c>
      <c r="M7" s="15">
        <v>100</v>
      </c>
      <c r="N7" s="16" t="s">
        <v>89</v>
      </c>
      <c r="O7" s="15">
        <v>100</v>
      </c>
      <c r="P7" s="17" t="s">
        <v>88</v>
      </c>
      <c r="Q7" s="21">
        <v>100</v>
      </c>
    </row>
    <row r="8" spans="1:17" x14ac:dyDescent="0.25">
      <c r="A8" s="89"/>
      <c r="B8" s="19">
        <v>3</v>
      </c>
      <c r="C8" s="20" t="s">
        <v>14</v>
      </c>
      <c r="D8" s="19">
        <v>3613</v>
      </c>
      <c r="E8" s="29" t="s">
        <v>105</v>
      </c>
      <c r="F8" s="14">
        <v>9</v>
      </c>
      <c r="G8" s="14">
        <v>1</v>
      </c>
      <c r="H8" s="14">
        <v>5</v>
      </c>
      <c r="I8" s="14">
        <v>17</v>
      </c>
      <c r="J8" s="14">
        <v>23</v>
      </c>
      <c r="K8" s="33"/>
      <c r="L8" s="15">
        <v>100</v>
      </c>
      <c r="M8" s="15">
        <v>100</v>
      </c>
      <c r="N8" s="16" t="s">
        <v>89</v>
      </c>
      <c r="O8" s="15">
        <v>100</v>
      </c>
      <c r="P8" s="17" t="s">
        <v>90</v>
      </c>
      <c r="Q8" s="21">
        <v>100</v>
      </c>
    </row>
    <row r="9" spans="1:17" x14ac:dyDescent="0.25">
      <c r="A9" s="89"/>
      <c r="B9" s="19">
        <v>4</v>
      </c>
      <c r="C9" s="20" t="s">
        <v>15</v>
      </c>
      <c r="D9" s="19">
        <v>4078</v>
      </c>
      <c r="E9" s="29" t="s">
        <v>104</v>
      </c>
      <c r="F9" s="14">
        <v>8</v>
      </c>
      <c r="G9" s="14">
        <v>5</v>
      </c>
      <c r="H9" s="14">
        <v>8</v>
      </c>
      <c r="I9" s="14">
        <v>29</v>
      </c>
      <c r="J9" s="14">
        <v>23</v>
      </c>
      <c r="K9" s="33"/>
      <c r="L9" s="15">
        <v>100</v>
      </c>
      <c r="M9" s="15">
        <v>100</v>
      </c>
      <c r="N9" s="16" t="s">
        <v>88</v>
      </c>
      <c r="O9" s="15">
        <v>100</v>
      </c>
      <c r="P9" s="17" t="s">
        <v>90</v>
      </c>
      <c r="Q9" s="21">
        <v>100</v>
      </c>
    </row>
    <row r="10" spans="1:17" x14ac:dyDescent="0.25">
      <c r="A10" s="90"/>
      <c r="B10" s="22">
        <v>6</v>
      </c>
      <c r="C10" s="23" t="s">
        <v>17</v>
      </c>
      <c r="D10" s="22">
        <v>3314</v>
      </c>
      <c r="E10" s="50" t="s">
        <v>103</v>
      </c>
      <c r="F10" s="24">
        <v>9</v>
      </c>
      <c r="G10" s="24">
        <v>4</v>
      </c>
      <c r="H10" s="24">
        <v>4</v>
      </c>
      <c r="I10" s="24">
        <v>25</v>
      </c>
      <c r="J10" s="24">
        <v>14</v>
      </c>
      <c r="K10" s="34"/>
      <c r="L10" s="25">
        <v>100</v>
      </c>
      <c r="M10" s="25">
        <v>100</v>
      </c>
      <c r="N10" s="28" t="s">
        <v>88</v>
      </c>
      <c r="O10" s="25">
        <v>100</v>
      </c>
      <c r="P10" s="26" t="s">
        <v>91</v>
      </c>
      <c r="Q10" s="27">
        <v>100</v>
      </c>
    </row>
    <row r="11" spans="1:17" x14ac:dyDescent="0.25">
      <c r="A11" s="88" t="s">
        <v>66</v>
      </c>
      <c r="B11" s="19">
        <v>2</v>
      </c>
      <c r="C11" s="20" t="s">
        <v>18</v>
      </c>
      <c r="D11" s="19">
        <v>4826</v>
      </c>
      <c r="E11" s="29" t="s">
        <v>103</v>
      </c>
      <c r="F11" s="14">
        <v>9</v>
      </c>
      <c r="G11" s="14">
        <v>3</v>
      </c>
      <c r="H11" s="14">
        <v>11</v>
      </c>
      <c r="I11" s="14">
        <v>39</v>
      </c>
      <c r="J11" s="14">
        <v>30</v>
      </c>
      <c r="K11" s="33"/>
      <c r="L11" s="15">
        <v>100</v>
      </c>
      <c r="M11" s="15">
        <v>100</v>
      </c>
      <c r="N11" s="16" t="s">
        <v>88</v>
      </c>
      <c r="O11" s="15">
        <v>100</v>
      </c>
      <c r="P11" s="17" t="s">
        <v>92</v>
      </c>
      <c r="Q11" s="21">
        <v>100</v>
      </c>
    </row>
    <row r="12" spans="1:17" x14ac:dyDescent="0.25">
      <c r="A12" s="89"/>
      <c r="B12" s="19">
        <v>3</v>
      </c>
      <c r="C12" s="20" t="s">
        <v>19</v>
      </c>
      <c r="D12" s="19">
        <v>4339</v>
      </c>
      <c r="E12" s="29" t="s">
        <v>105</v>
      </c>
      <c r="F12" s="14">
        <v>5</v>
      </c>
      <c r="G12" s="14">
        <v>3</v>
      </c>
      <c r="H12" s="14">
        <v>2</v>
      </c>
      <c r="I12" s="14">
        <v>13</v>
      </c>
      <c r="J12" s="14">
        <v>15</v>
      </c>
      <c r="K12" s="33"/>
      <c r="L12" s="15">
        <v>100</v>
      </c>
      <c r="M12" s="15">
        <v>100</v>
      </c>
      <c r="N12" s="16" t="s">
        <v>89</v>
      </c>
      <c r="O12" s="15">
        <v>100</v>
      </c>
      <c r="P12" s="17" t="s">
        <v>89</v>
      </c>
      <c r="Q12" s="21">
        <v>100</v>
      </c>
    </row>
    <row r="13" spans="1:17" x14ac:dyDescent="0.25">
      <c r="A13" s="89"/>
      <c r="B13" s="19">
        <v>4</v>
      </c>
      <c r="C13" s="20" t="s">
        <v>20</v>
      </c>
      <c r="D13" s="19">
        <v>4525</v>
      </c>
      <c r="E13" s="29" t="s">
        <v>105</v>
      </c>
      <c r="F13" s="14">
        <v>11</v>
      </c>
      <c r="G13" s="14">
        <v>19</v>
      </c>
      <c r="H13" s="14">
        <v>11</v>
      </c>
      <c r="I13" s="14">
        <v>47</v>
      </c>
      <c r="J13" s="14">
        <v>38</v>
      </c>
      <c r="K13" s="33"/>
      <c r="L13" s="15">
        <v>100</v>
      </c>
      <c r="M13" s="15">
        <v>100</v>
      </c>
      <c r="N13" s="16" t="s">
        <v>89</v>
      </c>
      <c r="O13" s="15">
        <v>100</v>
      </c>
      <c r="P13" s="17" t="s">
        <v>89</v>
      </c>
      <c r="Q13" s="21">
        <v>100</v>
      </c>
    </row>
    <row r="14" spans="1:17" x14ac:dyDescent="0.25">
      <c r="A14" s="89"/>
      <c r="B14" s="19">
        <v>5</v>
      </c>
      <c r="C14" s="20" t="s">
        <v>21</v>
      </c>
      <c r="D14" s="19">
        <v>4599</v>
      </c>
      <c r="E14" s="29" t="s">
        <v>105</v>
      </c>
      <c r="F14" s="14">
        <v>11</v>
      </c>
      <c r="G14" s="14">
        <v>4</v>
      </c>
      <c r="H14" s="14">
        <v>7</v>
      </c>
      <c r="I14" s="14">
        <v>27</v>
      </c>
      <c r="J14" s="14">
        <v>21</v>
      </c>
      <c r="K14" s="33"/>
      <c r="L14" s="15">
        <v>100</v>
      </c>
      <c r="M14" s="15">
        <v>100</v>
      </c>
      <c r="N14" s="16" t="s">
        <v>89</v>
      </c>
      <c r="O14" s="15">
        <v>100</v>
      </c>
      <c r="P14" s="17" t="s">
        <v>89</v>
      </c>
      <c r="Q14" s="21">
        <v>100</v>
      </c>
    </row>
    <row r="15" spans="1:17" x14ac:dyDescent="0.25">
      <c r="A15" s="89"/>
      <c r="B15" s="19">
        <v>6</v>
      </c>
      <c r="C15" s="20" t="s">
        <v>22</v>
      </c>
      <c r="D15" s="19">
        <v>5368</v>
      </c>
      <c r="E15" s="29" t="s">
        <v>105</v>
      </c>
      <c r="F15" s="14">
        <v>10</v>
      </c>
      <c r="G15" s="14">
        <v>17</v>
      </c>
      <c r="H15" s="14">
        <v>9</v>
      </c>
      <c r="I15" s="14">
        <v>49</v>
      </c>
      <c r="J15" s="14">
        <v>32</v>
      </c>
      <c r="K15" s="33"/>
      <c r="L15" s="15">
        <v>100</v>
      </c>
      <c r="M15" s="15">
        <v>100</v>
      </c>
      <c r="N15" s="73" t="s">
        <v>95</v>
      </c>
      <c r="O15" s="72">
        <v>100</v>
      </c>
      <c r="P15" s="17" t="s">
        <v>88</v>
      </c>
      <c r="Q15" s="21">
        <v>100</v>
      </c>
    </row>
    <row r="16" spans="1:17" x14ac:dyDescent="0.25">
      <c r="A16" s="89"/>
      <c r="B16" s="19">
        <v>7</v>
      </c>
      <c r="C16" s="20" t="s">
        <v>23</v>
      </c>
      <c r="D16" s="19">
        <v>3975</v>
      </c>
      <c r="E16" s="29" t="s">
        <v>105</v>
      </c>
      <c r="F16" s="14">
        <v>10</v>
      </c>
      <c r="G16" s="14">
        <v>14</v>
      </c>
      <c r="H16" s="14">
        <v>20</v>
      </c>
      <c r="I16" s="14">
        <v>52</v>
      </c>
      <c r="J16" s="14">
        <v>30</v>
      </c>
      <c r="K16" s="33"/>
      <c r="L16" s="15">
        <v>100</v>
      </c>
      <c r="M16" s="15">
        <v>100</v>
      </c>
      <c r="N16" s="16" t="s">
        <v>89</v>
      </c>
      <c r="O16" s="15">
        <v>100</v>
      </c>
      <c r="P16" s="17" t="s">
        <v>90</v>
      </c>
      <c r="Q16" s="21">
        <v>100</v>
      </c>
    </row>
    <row r="17" spans="1:17" x14ac:dyDescent="0.25">
      <c r="A17" s="89"/>
      <c r="B17" s="19">
        <v>8</v>
      </c>
      <c r="C17" s="20" t="s">
        <v>24</v>
      </c>
      <c r="D17" s="19">
        <v>4370</v>
      </c>
      <c r="E17" s="29" t="s">
        <v>103</v>
      </c>
      <c r="F17" s="14">
        <v>9</v>
      </c>
      <c r="G17" s="14">
        <v>5</v>
      </c>
      <c r="H17" s="14">
        <v>1</v>
      </c>
      <c r="I17" s="14">
        <v>23</v>
      </c>
      <c r="J17" s="14">
        <v>15</v>
      </c>
      <c r="K17" s="33"/>
      <c r="L17" s="15">
        <v>100</v>
      </c>
      <c r="M17" s="15">
        <v>100</v>
      </c>
      <c r="N17" s="16" t="s">
        <v>88</v>
      </c>
      <c r="O17" s="15">
        <v>100</v>
      </c>
      <c r="P17" s="17" t="s">
        <v>89</v>
      </c>
      <c r="Q17" s="21">
        <v>100</v>
      </c>
    </row>
    <row r="18" spans="1:17" x14ac:dyDescent="0.25">
      <c r="A18" s="90"/>
      <c r="B18" s="22">
        <v>9</v>
      </c>
      <c r="C18" s="23" t="s">
        <v>25</v>
      </c>
      <c r="D18" s="22">
        <v>3918</v>
      </c>
      <c r="E18" s="50" t="s">
        <v>105</v>
      </c>
      <c r="F18" s="24">
        <v>6</v>
      </c>
      <c r="G18" s="24">
        <v>6</v>
      </c>
      <c r="H18" s="24">
        <v>3</v>
      </c>
      <c r="I18" s="24">
        <v>21</v>
      </c>
      <c r="J18" s="24">
        <v>15</v>
      </c>
      <c r="K18" s="34"/>
      <c r="L18" s="25">
        <v>100</v>
      </c>
      <c r="M18" s="25">
        <v>100</v>
      </c>
      <c r="N18" s="28" t="s">
        <v>89</v>
      </c>
      <c r="O18" s="25">
        <v>100</v>
      </c>
      <c r="P18" s="26" t="s">
        <v>89</v>
      </c>
      <c r="Q18" s="27">
        <v>100</v>
      </c>
    </row>
    <row r="19" spans="1:17" x14ac:dyDescent="0.25">
      <c r="A19" s="88" t="s">
        <v>67</v>
      </c>
      <c r="B19" s="19">
        <v>2</v>
      </c>
      <c r="C19" s="20" t="s">
        <v>26</v>
      </c>
      <c r="D19" s="19">
        <v>5415</v>
      </c>
      <c r="E19" s="29" t="s">
        <v>105</v>
      </c>
      <c r="F19" s="14">
        <v>13</v>
      </c>
      <c r="G19" s="14">
        <v>26</v>
      </c>
      <c r="H19" s="14">
        <v>14</v>
      </c>
      <c r="I19" s="14">
        <v>68</v>
      </c>
      <c r="J19" s="14">
        <v>57</v>
      </c>
      <c r="K19" s="33"/>
      <c r="L19" s="15">
        <v>100</v>
      </c>
      <c r="M19" s="15">
        <v>100</v>
      </c>
      <c r="N19" s="16" t="s">
        <v>89</v>
      </c>
      <c r="O19" s="15">
        <v>100</v>
      </c>
      <c r="P19" s="17" t="s">
        <v>87</v>
      </c>
      <c r="Q19" s="21">
        <v>100</v>
      </c>
    </row>
    <row r="20" spans="1:17" x14ac:dyDescent="0.25">
      <c r="A20" s="89"/>
      <c r="B20" s="19">
        <v>3</v>
      </c>
      <c r="C20" s="20" t="s">
        <v>27</v>
      </c>
      <c r="D20" s="19">
        <v>4698</v>
      </c>
      <c r="E20" s="29" t="s">
        <v>103</v>
      </c>
      <c r="F20" s="14">
        <v>20</v>
      </c>
      <c r="G20" s="14">
        <v>29</v>
      </c>
      <c r="H20" s="14">
        <v>2</v>
      </c>
      <c r="I20" s="14">
        <v>5</v>
      </c>
      <c r="J20" s="14">
        <v>3</v>
      </c>
      <c r="K20" s="33"/>
      <c r="L20" s="15">
        <v>100</v>
      </c>
      <c r="M20" s="72">
        <v>100</v>
      </c>
      <c r="N20" s="73" t="s">
        <v>88</v>
      </c>
      <c r="O20" s="72">
        <v>100</v>
      </c>
      <c r="P20" s="74" t="s">
        <v>90</v>
      </c>
      <c r="Q20" s="75">
        <v>100</v>
      </c>
    </row>
    <row r="21" spans="1:17" x14ac:dyDescent="0.25">
      <c r="A21" s="89"/>
      <c r="B21" s="19">
        <v>4</v>
      </c>
      <c r="C21" s="20" t="s">
        <v>28</v>
      </c>
      <c r="D21" s="19">
        <v>4373</v>
      </c>
      <c r="E21" s="29" t="s">
        <v>105</v>
      </c>
      <c r="F21" s="14">
        <v>14</v>
      </c>
      <c r="G21" s="14">
        <v>5</v>
      </c>
      <c r="H21" s="14">
        <v>5</v>
      </c>
      <c r="I21" s="14">
        <v>3</v>
      </c>
      <c r="J21" s="14">
        <v>17</v>
      </c>
      <c r="K21" s="33"/>
      <c r="L21" s="15">
        <v>100</v>
      </c>
      <c r="M21" s="72">
        <v>100</v>
      </c>
      <c r="N21" s="73" t="s">
        <v>89</v>
      </c>
      <c r="O21" s="72">
        <v>100</v>
      </c>
      <c r="P21" s="74" t="s">
        <v>89</v>
      </c>
      <c r="Q21" s="75">
        <v>100</v>
      </c>
    </row>
    <row r="22" spans="1:17" x14ac:dyDescent="0.25">
      <c r="A22" s="89"/>
      <c r="B22" s="19">
        <v>5</v>
      </c>
      <c r="C22" s="20" t="s">
        <v>29</v>
      </c>
      <c r="D22" s="19">
        <v>4432</v>
      </c>
      <c r="E22" s="29" t="s">
        <v>105</v>
      </c>
      <c r="F22" s="14">
        <v>10</v>
      </c>
      <c r="G22" s="14">
        <v>7</v>
      </c>
      <c r="H22" s="14">
        <v>4</v>
      </c>
      <c r="I22" s="14">
        <v>27</v>
      </c>
      <c r="J22" s="14">
        <v>14</v>
      </c>
      <c r="K22" s="33"/>
      <c r="L22" s="15">
        <v>100</v>
      </c>
      <c r="M22" s="72">
        <v>100</v>
      </c>
      <c r="N22" s="73" t="s">
        <v>89</v>
      </c>
      <c r="O22" s="72">
        <v>100</v>
      </c>
      <c r="P22" s="74" t="s">
        <v>89</v>
      </c>
      <c r="Q22" s="75">
        <v>100</v>
      </c>
    </row>
    <row r="23" spans="1:17" x14ac:dyDescent="0.25">
      <c r="A23" s="90"/>
      <c r="B23" s="22">
        <v>6</v>
      </c>
      <c r="C23" s="23" t="s">
        <v>30</v>
      </c>
      <c r="D23" s="22">
        <v>3665</v>
      </c>
      <c r="E23" s="50" t="s">
        <v>103</v>
      </c>
      <c r="F23" s="24">
        <v>6</v>
      </c>
      <c r="G23" s="24">
        <v>2</v>
      </c>
      <c r="H23" s="24">
        <v>6</v>
      </c>
      <c r="I23" s="24">
        <v>18</v>
      </c>
      <c r="J23" s="24">
        <v>22</v>
      </c>
      <c r="K23" s="34"/>
      <c r="L23" s="25">
        <v>100</v>
      </c>
      <c r="M23" s="76">
        <v>100</v>
      </c>
      <c r="N23" s="77" t="s">
        <v>90</v>
      </c>
      <c r="O23" s="76">
        <v>100</v>
      </c>
      <c r="P23" s="78" t="s">
        <v>93</v>
      </c>
      <c r="Q23" s="79">
        <v>100</v>
      </c>
    </row>
    <row r="24" spans="1:17" x14ac:dyDescent="0.25">
      <c r="A24" s="88" t="s">
        <v>69</v>
      </c>
      <c r="B24" s="19">
        <v>2</v>
      </c>
      <c r="C24" s="20" t="s">
        <v>31</v>
      </c>
      <c r="D24" s="19">
        <v>4130</v>
      </c>
      <c r="E24" s="29" t="s">
        <v>103</v>
      </c>
      <c r="F24" s="14">
        <v>7</v>
      </c>
      <c r="G24" s="14">
        <v>2</v>
      </c>
      <c r="H24" s="14">
        <v>6</v>
      </c>
      <c r="I24" s="14">
        <v>20</v>
      </c>
      <c r="J24" s="14">
        <v>17</v>
      </c>
      <c r="K24" s="33"/>
      <c r="L24" s="15">
        <v>100</v>
      </c>
      <c r="M24" s="72">
        <v>100</v>
      </c>
      <c r="N24" s="73" t="s">
        <v>90</v>
      </c>
      <c r="O24" s="72">
        <v>100</v>
      </c>
      <c r="P24" s="74" t="s">
        <v>93</v>
      </c>
      <c r="Q24" s="75">
        <v>100</v>
      </c>
    </row>
    <row r="25" spans="1:17" x14ac:dyDescent="0.25">
      <c r="A25" s="89"/>
      <c r="B25" s="19">
        <v>3</v>
      </c>
      <c r="C25" s="20" t="s">
        <v>32</v>
      </c>
      <c r="D25" s="19">
        <v>3318</v>
      </c>
      <c r="E25" s="29" t="s">
        <v>105</v>
      </c>
      <c r="F25" s="14">
        <v>6</v>
      </c>
      <c r="G25" s="14">
        <v>2</v>
      </c>
      <c r="H25" s="14">
        <v>5</v>
      </c>
      <c r="I25" s="14">
        <v>16</v>
      </c>
      <c r="J25" s="14">
        <v>19</v>
      </c>
      <c r="K25" s="33"/>
      <c r="L25" s="15">
        <v>100</v>
      </c>
      <c r="M25" s="72">
        <v>100</v>
      </c>
      <c r="N25" s="73" t="s">
        <v>89</v>
      </c>
      <c r="O25" s="72">
        <v>100</v>
      </c>
      <c r="P25" s="74" t="s">
        <v>89</v>
      </c>
      <c r="Q25" s="75">
        <v>100</v>
      </c>
    </row>
    <row r="26" spans="1:17" x14ac:dyDescent="0.25">
      <c r="A26" s="89"/>
      <c r="B26" s="19">
        <v>4</v>
      </c>
      <c r="C26" s="20" t="s">
        <v>33</v>
      </c>
      <c r="D26" s="19">
        <v>4457</v>
      </c>
      <c r="E26" s="29" t="s">
        <v>103</v>
      </c>
      <c r="F26" s="14">
        <v>9</v>
      </c>
      <c r="G26" s="14">
        <v>1</v>
      </c>
      <c r="H26" s="14">
        <v>6</v>
      </c>
      <c r="I26" s="14">
        <v>19</v>
      </c>
      <c r="J26" s="14">
        <v>20</v>
      </c>
      <c r="K26" s="33"/>
      <c r="L26" s="15">
        <v>100</v>
      </c>
      <c r="M26" s="72">
        <v>100</v>
      </c>
      <c r="N26" s="73" t="s">
        <v>88</v>
      </c>
      <c r="O26" s="72">
        <v>100</v>
      </c>
      <c r="P26" s="83" t="s">
        <v>94</v>
      </c>
      <c r="Q26" s="82">
        <v>66.666666666666657</v>
      </c>
    </row>
    <row r="27" spans="1:17" x14ac:dyDescent="0.25">
      <c r="A27" s="89"/>
      <c r="B27" s="19">
        <v>5</v>
      </c>
      <c r="C27" s="20" t="s">
        <v>34</v>
      </c>
      <c r="D27" s="19">
        <v>5221</v>
      </c>
      <c r="E27" s="29" t="s">
        <v>35</v>
      </c>
      <c r="F27" s="14">
        <v>16</v>
      </c>
      <c r="G27" s="14">
        <v>4</v>
      </c>
      <c r="H27" s="14">
        <v>2</v>
      </c>
      <c r="I27" s="14">
        <v>36</v>
      </c>
      <c r="J27" s="14">
        <v>40</v>
      </c>
      <c r="K27" s="33"/>
      <c r="L27" s="15">
        <v>100</v>
      </c>
      <c r="M27" s="72">
        <v>100</v>
      </c>
      <c r="N27" s="73" t="s">
        <v>95</v>
      </c>
      <c r="O27" s="72">
        <v>100</v>
      </c>
      <c r="P27" s="74" t="s">
        <v>89</v>
      </c>
      <c r="Q27" s="75">
        <v>100</v>
      </c>
    </row>
    <row r="28" spans="1:17" x14ac:dyDescent="0.25">
      <c r="A28" s="89"/>
      <c r="B28" s="19">
        <v>6</v>
      </c>
      <c r="C28" s="20" t="s">
        <v>36</v>
      </c>
      <c r="D28" s="19">
        <v>3791</v>
      </c>
      <c r="E28" s="29" t="s">
        <v>103</v>
      </c>
      <c r="F28" s="14">
        <v>8</v>
      </c>
      <c r="G28" s="14">
        <v>23</v>
      </c>
      <c r="H28" s="14">
        <v>9</v>
      </c>
      <c r="I28" s="14">
        <v>51</v>
      </c>
      <c r="J28" s="14">
        <v>26</v>
      </c>
      <c r="K28" s="33"/>
      <c r="L28" s="15">
        <v>100</v>
      </c>
      <c r="M28" s="72">
        <v>100</v>
      </c>
      <c r="N28" s="73" t="s">
        <v>88</v>
      </c>
      <c r="O28" s="72">
        <v>100</v>
      </c>
      <c r="P28" s="74" t="s">
        <v>91</v>
      </c>
      <c r="Q28" s="75">
        <v>100</v>
      </c>
    </row>
    <row r="29" spans="1:17" x14ac:dyDescent="0.25">
      <c r="A29" s="90"/>
      <c r="B29" s="22">
        <v>7</v>
      </c>
      <c r="C29" s="23" t="s">
        <v>37</v>
      </c>
      <c r="D29" s="22">
        <v>3811</v>
      </c>
      <c r="E29" s="50" t="s">
        <v>103</v>
      </c>
      <c r="F29" s="24">
        <v>9</v>
      </c>
      <c r="G29" s="24">
        <v>2</v>
      </c>
      <c r="H29" s="24">
        <v>10</v>
      </c>
      <c r="I29" s="24">
        <v>29</v>
      </c>
      <c r="J29" s="24">
        <v>34</v>
      </c>
      <c r="K29" s="34"/>
      <c r="L29" s="25">
        <v>100</v>
      </c>
      <c r="M29" s="76">
        <v>100</v>
      </c>
      <c r="N29" s="77" t="s">
        <v>88</v>
      </c>
      <c r="O29" s="76">
        <v>100</v>
      </c>
      <c r="P29" s="78" t="s">
        <v>88</v>
      </c>
      <c r="Q29" s="79">
        <v>100</v>
      </c>
    </row>
    <row r="30" spans="1:17" x14ac:dyDescent="0.25">
      <c r="A30" s="88" t="s">
        <v>70</v>
      </c>
      <c r="B30" s="19">
        <v>2</v>
      </c>
      <c r="C30" s="20" t="s">
        <v>38</v>
      </c>
      <c r="D30" s="19">
        <v>3773</v>
      </c>
      <c r="E30" s="29" t="s">
        <v>103</v>
      </c>
      <c r="F30" s="14">
        <v>9</v>
      </c>
      <c r="G30" s="14">
        <v>2</v>
      </c>
      <c r="H30" s="14">
        <v>5</v>
      </c>
      <c r="I30" s="14">
        <v>24</v>
      </c>
      <c r="J30" s="14">
        <v>11</v>
      </c>
      <c r="K30" s="33"/>
      <c r="L30" s="15">
        <v>100</v>
      </c>
      <c r="M30" s="72">
        <v>100</v>
      </c>
      <c r="N30" s="73" t="s">
        <v>88</v>
      </c>
      <c r="O30" s="72">
        <v>100</v>
      </c>
      <c r="P30" s="74" t="s">
        <v>88</v>
      </c>
      <c r="Q30" s="75">
        <v>100</v>
      </c>
    </row>
    <row r="31" spans="1:17" x14ac:dyDescent="0.25">
      <c r="A31" s="89"/>
      <c r="B31" s="19">
        <v>3</v>
      </c>
      <c r="C31" s="20" t="s">
        <v>39</v>
      </c>
      <c r="D31" s="19">
        <v>2600</v>
      </c>
      <c r="E31" s="29" t="s">
        <v>105</v>
      </c>
      <c r="F31" s="14">
        <v>4</v>
      </c>
      <c r="G31" s="14">
        <v>2</v>
      </c>
      <c r="H31" s="14">
        <v>3</v>
      </c>
      <c r="I31" s="14">
        <v>16</v>
      </c>
      <c r="J31" s="14">
        <v>18</v>
      </c>
      <c r="K31" s="33"/>
      <c r="L31" s="15">
        <v>100</v>
      </c>
      <c r="M31" s="72">
        <v>100</v>
      </c>
      <c r="N31" s="73" t="s">
        <v>89</v>
      </c>
      <c r="O31" s="72">
        <v>100</v>
      </c>
      <c r="P31" s="74" t="s">
        <v>88</v>
      </c>
      <c r="Q31" s="75">
        <v>100</v>
      </c>
    </row>
    <row r="32" spans="1:17" x14ac:dyDescent="0.25">
      <c r="A32" s="89"/>
      <c r="B32" s="19">
        <v>4</v>
      </c>
      <c r="C32" s="20" t="s">
        <v>40</v>
      </c>
      <c r="D32" s="19">
        <v>3092</v>
      </c>
      <c r="E32" s="29" t="s">
        <v>105</v>
      </c>
      <c r="F32" s="14">
        <v>5</v>
      </c>
      <c r="G32" s="14">
        <v>5</v>
      </c>
      <c r="H32" s="14">
        <v>6</v>
      </c>
      <c r="I32" s="14">
        <v>18</v>
      </c>
      <c r="J32" s="14">
        <v>14</v>
      </c>
      <c r="K32" s="33"/>
      <c r="L32" s="15">
        <v>100</v>
      </c>
      <c r="M32" s="72">
        <v>100</v>
      </c>
      <c r="N32" s="73" t="s">
        <v>89</v>
      </c>
      <c r="O32" s="72">
        <v>100</v>
      </c>
      <c r="P32" s="74" t="s">
        <v>89</v>
      </c>
      <c r="Q32" s="75">
        <v>100</v>
      </c>
    </row>
    <row r="33" spans="1:18" x14ac:dyDescent="0.25">
      <c r="A33" s="89"/>
      <c r="B33" s="19">
        <v>5</v>
      </c>
      <c r="C33" s="20" t="s">
        <v>41</v>
      </c>
      <c r="D33" s="19">
        <v>3512</v>
      </c>
      <c r="E33" s="29" t="s">
        <v>105</v>
      </c>
      <c r="F33" s="14">
        <v>10</v>
      </c>
      <c r="G33" s="14">
        <v>12</v>
      </c>
      <c r="H33" s="14">
        <v>10</v>
      </c>
      <c r="I33" s="14">
        <v>42</v>
      </c>
      <c r="J33" s="14">
        <v>34</v>
      </c>
      <c r="K33" s="33"/>
      <c r="L33" s="15">
        <v>100</v>
      </c>
      <c r="M33" s="72">
        <v>100</v>
      </c>
      <c r="N33" s="73" t="s">
        <v>88</v>
      </c>
      <c r="O33" s="72">
        <v>100</v>
      </c>
      <c r="P33" s="74" t="s">
        <v>89</v>
      </c>
      <c r="Q33" s="75">
        <v>100</v>
      </c>
    </row>
    <row r="34" spans="1:18" x14ac:dyDescent="0.25">
      <c r="A34" s="89"/>
      <c r="B34" s="19">
        <v>6</v>
      </c>
      <c r="C34" s="20" t="s">
        <v>82</v>
      </c>
      <c r="D34" s="19">
        <v>3451</v>
      </c>
      <c r="E34" s="29" t="s">
        <v>105</v>
      </c>
      <c r="F34" s="14">
        <v>7</v>
      </c>
      <c r="G34" s="14">
        <v>3</v>
      </c>
      <c r="H34" s="14">
        <v>3</v>
      </c>
      <c r="I34" s="14">
        <v>22</v>
      </c>
      <c r="J34" s="14">
        <v>30</v>
      </c>
      <c r="K34" s="33"/>
      <c r="L34" s="15">
        <v>100</v>
      </c>
      <c r="M34" s="72">
        <v>100</v>
      </c>
      <c r="N34" s="73" t="s">
        <v>88</v>
      </c>
      <c r="O34" s="72">
        <v>100</v>
      </c>
      <c r="P34" s="74" t="s">
        <v>88</v>
      </c>
      <c r="Q34" s="75">
        <v>100</v>
      </c>
    </row>
    <row r="35" spans="1:18" x14ac:dyDescent="0.25">
      <c r="A35" s="90"/>
      <c r="B35" s="22">
        <v>7</v>
      </c>
      <c r="C35" s="23" t="s">
        <v>42</v>
      </c>
      <c r="D35" s="22">
        <v>2979</v>
      </c>
      <c r="E35" s="50" t="s">
        <v>105</v>
      </c>
      <c r="F35" s="24">
        <v>5</v>
      </c>
      <c r="G35" s="24">
        <v>3</v>
      </c>
      <c r="H35" s="24">
        <v>4</v>
      </c>
      <c r="I35" s="24">
        <v>16</v>
      </c>
      <c r="J35" s="24">
        <v>15</v>
      </c>
      <c r="K35" s="34"/>
      <c r="L35" s="25">
        <v>100</v>
      </c>
      <c r="M35" s="76">
        <v>100</v>
      </c>
      <c r="N35" s="77" t="s">
        <v>89</v>
      </c>
      <c r="O35" s="76">
        <v>100</v>
      </c>
      <c r="P35" s="78" t="s">
        <v>89</v>
      </c>
      <c r="Q35" s="79">
        <v>100</v>
      </c>
    </row>
    <row r="36" spans="1:18" x14ac:dyDescent="0.25">
      <c r="A36" s="88" t="s">
        <v>71</v>
      </c>
      <c r="B36" s="19">
        <v>2</v>
      </c>
      <c r="C36" s="20" t="s">
        <v>43</v>
      </c>
      <c r="D36" s="19">
        <v>3899</v>
      </c>
      <c r="E36" s="29" t="s">
        <v>105</v>
      </c>
      <c r="F36" s="14">
        <v>8</v>
      </c>
      <c r="G36" s="14">
        <v>11</v>
      </c>
      <c r="H36" s="14">
        <v>8</v>
      </c>
      <c r="I36" s="14">
        <v>34</v>
      </c>
      <c r="J36" s="14">
        <v>28</v>
      </c>
      <c r="K36" s="33"/>
      <c r="L36" s="15">
        <v>100</v>
      </c>
      <c r="M36" s="72">
        <v>100</v>
      </c>
      <c r="N36" s="73" t="s">
        <v>88</v>
      </c>
      <c r="O36" s="72">
        <v>100</v>
      </c>
      <c r="P36" s="74" t="s">
        <v>89</v>
      </c>
      <c r="Q36" s="75">
        <v>100</v>
      </c>
    </row>
    <row r="37" spans="1:18" x14ac:dyDescent="0.25">
      <c r="A37" s="89"/>
      <c r="B37" s="19">
        <v>3</v>
      </c>
      <c r="C37" s="20" t="s">
        <v>44</v>
      </c>
      <c r="D37" s="19">
        <v>4713</v>
      </c>
      <c r="E37" s="29" t="s">
        <v>104</v>
      </c>
      <c r="F37" s="14">
        <v>8</v>
      </c>
      <c r="G37" s="14">
        <v>2</v>
      </c>
      <c r="H37" s="14">
        <v>6</v>
      </c>
      <c r="I37" s="14">
        <v>23</v>
      </c>
      <c r="J37" s="14">
        <v>26</v>
      </c>
      <c r="K37" s="33"/>
      <c r="L37" s="15">
        <v>100</v>
      </c>
      <c r="M37" s="85">
        <v>80</v>
      </c>
      <c r="N37" s="73" t="s">
        <v>89</v>
      </c>
      <c r="O37" s="72">
        <v>100</v>
      </c>
      <c r="P37" s="74" t="s">
        <v>88</v>
      </c>
      <c r="Q37" s="75">
        <v>100</v>
      </c>
    </row>
    <row r="38" spans="1:18" x14ac:dyDescent="0.25">
      <c r="A38" s="89"/>
      <c r="B38" s="19">
        <v>4</v>
      </c>
      <c r="C38" s="20" t="s">
        <v>45</v>
      </c>
      <c r="D38" s="19">
        <v>4191</v>
      </c>
      <c r="E38" s="29" t="s">
        <v>105</v>
      </c>
      <c r="F38" s="14">
        <v>11</v>
      </c>
      <c r="G38" s="14">
        <v>7</v>
      </c>
      <c r="H38" s="14">
        <v>5</v>
      </c>
      <c r="I38" s="14">
        <v>32</v>
      </c>
      <c r="J38" s="14">
        <v>17</v>
      </c>
      <c r="K38" s="33"/>
      <c r="L38" s="15">
        <v>100</v>
      </c>
      <c r="M38" s="72">
        <v>100</v>
      </c>
      <c r="N38" s="84" t="s">
        <v>101</v>
      </c>
      <c r="O38" s="85">
        <v>75</v>
      </c>
      <c r="P38" s="74" t="s">
        <v>89</v>
      </c>
      <c r="Q38" s="75">
        <v>100</v>
      </c>
    </row>
    <row r="39" spans="1:18" x14ac:dyDescent="0.25">
      <c r="A39" s="89"/>
      <c r="B39" s="19">
        <v>5</v>
      </c>
      <c r="C39" s="20" t="s">
        <v>46</v>
      </c>
      <c r="D39" s="19">
        <v>4644</v>
      </c>
      <c r="E39" s="29" t="s">
        <v>105</v>
      </c>
      <c r="F39" s="14">
        <v>9</v>
      </c>
      <c r="G39" s="14">
        <v>1</v>
      </c>
      <c r="H39" s="14">
        <v>6</v>
      </c>
      <c r="I39" s="14">
        <v>19</v>
      </c>
      <c r="J39" s="14">
        <v>43</v>
      </c>
      <c r="K39" s="33"/>
      <c r="L39" s="15">
        <v>100</v>
      </c>
      <c r="M39" s="72">
        <v>100</v>
      </c>
      <c r="N39" s="73" t="s">
        <v>89</v>
      </c>
      <c r="O39" s="72">
        <v>100</v>
      </c>
      <c r="P39" s="74" t="s">
        <v>88</v>
      </c>
      <c r="Q39" s="75">
        <v>100</v>
      </c>
    </row>
    <row r="40" spans="1:18" x14ac:dyDescent="0.25">
      <c r="A40" s="89"/>
      <c r="B40" s="19">
        <v>6</v>
      </c>
      <c r="C40" s="20" t="s">
        <v>47</v>
      </c>
      <c r="D40" s="19">
        <v>4947</v>
      </c>
      <c r="E40" s="29" t="s">
        <v>105</v>
      </c>
      <c r="F40" s="14">
        <v>14</v>
      </c>
      <c r="G40" s="14">
        <v>9</v>
      </c>
      <c r="H40" s="14">
        <v>7</v>
      </c>
      <c r="I40" s="14">
        <v>36</v>
      </c>
      <c r="J40" s="14">
        <v>34</v>
      </c>
      <c r="K40" s="33"/>
      <c r="L40" s="15">
        <v>100</v>
      </c>
      <c r="M40" s="72">
        <v>100</v>
      </c>
      <c r="N40" s="73" t="s">
        <v>95</v>
      </c>
      <c r="O40" s="72">
        <v>100</v>
      </c>
      <c r="P40" s="74" t="s">
        <v>88</v>
      </c>
      <c r="Q40" s="75">
        <v>100</v>
      </c>
    </row>
    <row r="41" spans="1:18" x14ac:dyDescent="0.25">
      <c r="A41" s="89"/>
      <c r="B41" s="19">
        <v>7</v>
      </c>
      <c r="C41" s="20" t="s">
        <v>48</v>
      </c>
      <c r="D41" s="19">
        <v>4903</v>
      </c>
      <c r="E41" s="29" t="s">
        <v>103</v>
      </c>
      <c r="F41" s="14">
        <v>10</v>
      </c>
      <c r="G41" s="14">
        <v>9</v>
      </c>
      <c r="H41" s="14">
        <v>17</v>
      </c>
      <c r="I41" s="14">
        <v>5</v>
      </c>
      <c r="J41" s="14">
        <v>5</v>
      </c>
      <c r="K41" s="33"/>
      <c r="L41" s="15">
        <v>100</v>
      </c>
      <c r="M41" s="72">
        <v>100</v>
      </c>
      <c r="N41" s="73" t="s">
        <v>89</v>
      </c>
      <c r="O41" s="72">
        <v>100</v>
      </c>
      <c r="P41" s="83" t="s">
        <v>94</v>
      </c>
      <c r="Q41" s="82">
        <v>66.666666666666657</v>
      </c>
    </row>
    <row r="42" spans="1:18" x14ac:dyDescent="0.25">
      <c r="A42" s="89"/>
      <c r="B42" s="19">
        <v>8</v>
      </c>
      <c r="C42" s="20" t="s">
        <v>83</v>
      </c>
      <c r="D42" s="19">
        <v>4123</v>
      </c>
      <c r="E42" s="29" t="s">
        <v>105</v>
      </c>
      <c r="F42" s="14">
        <v>8</v>
      </c>
      <c r="G42" s="14">
        <v>5</v>
      </c>
      <c r="H42" s="14">
        <v>12</v>
      </c>
      <c r="I42" s="14">
        <v>29</v>
      </c>
      <c r="J42" s="14">
        <v>22</v>
      </c>
      <c r="K42" s="33"/>
      <c r="L42" s="15">
        <v>100</v>
      </c>
      <c r="M42" s="72">
        <v>100</v>
      </c>
      <c r="N42" s="73" t="s">
        <v>88</v>
      </c>
      <c r="O42" s="72">
        <v>100</v>
      </c>
      <c r="P42" s="74" t="s">
        <v>89</v>
      </c>
      <c r="Q42" s="75">
        <v>100</v>
      </c>
    </row>
    <row r="43" spans="1:18" x14ac:dyDescent="0.25">
      <c r="A43" s="89"/>
      <c r="B43" s="19">
        <v>9</v>
      </c>
      <c r="C43" s="20" t="s">
        <v>84</v>
      </c>
      <c r="D43" s="19">
        <v>5274</v>
      </c>
      <c r="E43" s="29" t="s">
        <v>105</v>
      </c>
      <c r="F43" s="14">
        <v>13</v>
      </c>
      <c r="G43" s="14">
        <v>8</v>
      </c>
      <c r="H43" s="14">
        <v>6</v>
      </c>
      <c r="I43" s="14">
        <v>38</v>
      </c>
      <c r="J43" s="14">
        <v>51</v>
      </c>
      <c r="K43" s="33"/>
      <c r="L43" s="15">
        <v>100</v>
      </c>
      <c r="M43" s="72">
        <v>100</v>
      </c>
      <c r="N43" s="73" t="s">
        <v>89</v>
      </c>
      <c r="O43" s="72">
        <v>100</v>
      </c>
      <c r="P43" s="74" t="s">
        <v>95</v>
      </c>
      <c r="Q43" s="75">
        <v>100</v>
      </c>
    </row>
    <row r="44" spans="1:18" x14ac:dyDescent="0.25">
      <c r="A44" s="90"/>
      <c r="B44" s="22">
        <v>10</v>
      </c>
      <c r="C44" s="23" t="s">
        <v>85</v>
      </c>
      <c r="D44" s="22">
        <v>4240</v>
      </c>
      <c r="E44" s="50" t="s">
        <v>103</v>
      </c>
      <c r="F44" s="24">
        <v>7</v>
      </c>
      <c r="G44" s="24">
        <v>9</v>
      </c>
      <c r="H44" s="24">
        <v>3</v>
      </c>
      <c r="I44" s="24">
        <v>26</v>
      </c>
      <c r="J44" s="24">
        <v>22</v>
      </c>
      <c r="K44" s="53"/>
      <c r="L44" s="25">
        <v>100</v>
      </c>
      <c r="M44" s="76">
        <v>100</v>
      </c>
      <c r="N44" s="77" t="s">
        <v>89</v>
      </c>
      <c r="O44" s="76">
        <v>100</v>
      </c>
      <c r="P44" s="78" t="s">
        <v>91</v>
      </c>
      <c r="Q44" s="80">
        <v>100</v>
      </c>
      <c r="R44" s="54"/>
    </row>
    <row r="45" spans="1:18" x14ac:dyDescent="0.25">
      <c r="A45" s="88" t="s">
        <v>72</v>
      </c>
      <c r="B45" s="19">
        <v>2</v>
      </c>
      <c r="C45" s="20" t="s">
        <v>49</v>
      </c>
      <c r="D45" s="19">
        <v>3611</v>
      </c>
      <c r="E45" s="29" t="s">
        <v>103</v>
      </c>
      <c r="F45" s="14">
        <v>6</v>
      </c>
      <c r="G45" s="14">
        <v>5</v>
      </c>
      <c r="H45" s="14">
        <v>4</v>
      </c>
      <c r="I45" s="14">
        <v>22</v>
      </c>
      <c r="J45" s="14">
        <v>11</v>
      </c>
      <c r="K45" s="33"/>
      <c r="L45" s="15">
        <v>100</v>
      </c>
      <c r="M45" s="72">
        <v>100</v>
      </c>
      <c r="N45" s="73" t="s">
        <v>88</v>
      </c>
      <c r="O45" s="72">
        <v>100</v>
      </c>
      <c r="P45" s="74" t="s">
        <v>89</v>
      </c>
      <c r="Q45" s="75">
        <v>100</v>
      </c>
    </row>
    <row r="46" spans="1:18" x14ac:dyDescent="0.25">
      <c r="A46" s="89"/>
      <c r="B46" s="19">
        <v>3</v>
      </c>
      <c r="C46" s="20" t="s">
        <v>50</v>
      </c>
      <c r="D46" s="19">
        <v>4972</v>
      </c>
      <c r="E46" s="29" t="s">
        <v>35</v>
      </c>
      <c r="F46" s="14">
        <v>15</v>
      </c>
      <c r="G46" s="14">
        <v>17</v>
      </c>
      <c r="H46" s="14">
        <v>2</v>
      </c>
      <c r="I46" s="14">
        <v>44</v>
      </c>
      <c r="J46" s="14">
        <v>27</v>
      </c>
      <c r="K46" s="33"/>
      <c r="L46" s="15">
        <v>100</v>
      </c>
      <c r="M46" s="72">
        <v>100</v>
      </c>
      <c r="N46" s="73" t="s">
        <v>95</v>
      </c>
      <c r="O46" s="72">
        <v>100</v>
      </c>
      <c r="P46" s="74" t="s">
        <v>90</v>
      </c>
      <c r="Q46" s="75">
        <v>100</v>
      </c>
    </row>
    <row r="47" spans="1:18" x14ac:dyDescent="0.25">
      <c r="A47" s="89"/>
      <c r="B47" s="19">
        <v>4</v>
      </c>
      <c r="C47" s="20" t="s">
        <v>51</v>
      </c>
      <c r="D47" s="19">
        <v>3825</v>
      </c>
      <c r="E47" s="29" t="s">
        <v>103</v>
      </c>
      <c r="F47" s="14">
        <v>7</v>
      </c>
      <c r="G47" s="14">
        <v>7</v>
      </c>
      <c r="H47" s="14">
        <v>6</v>
      </c>
      <c r="I47" s="14">
        <v>30</v>
      </c>
      <c r="J47" s="14">
        <v>18</v>
      </c>
      <c r="K47" s="33"/>
      <c r="L47" s="15">
        <v>100</v>
      </c>
      <c r="M47" s="72">
        <v>100</v>
      </c>
      <c r="N47" s="73" t="s">
        <v>88</v>
      </c>
      <c r="O47" s="72">
        <v>100</v>
      </c>
      <c r="P47" s="74" t="s">
        <v>88</v>
      </c>
      <c r="Q47" s="75">
        <v>100</v>
      </c>
    </row>
    <row r="48" spans="1:18" x14ac:dyDescent="0.25">
      <c r="A48" s="89"/>
      <c r="B48" s="19">
        <v>5</v>
      </c>
      <c r="C48" s="20" t="s">
        <v>52</v>
      </c>
      <c r="D48" s="19">
        <v>4051</v>
      </c>
      <c r="E48" s="29" t="s">
        <v>35</v>
      </c>
      <c r="F48" s="14">
        <v>16</v>
      </c>
      <c r="G48" s="14">
        <v>30</v>
      </c>
      <c r="H48" s="14">
        <v>3</v>
      </c>
      <c r="I48" s="14">
        <v>65</v>
      </c>
      <c r="J48" s="14">
        <v>28</v>
      </c>
      <c r="K48" s="33"/>
      <c r="L48" s="15">
        <v>100</v>
      </c>
      <c r="M48" s="72">
        <v>100</v>
      </c>
      <c r="N48" s="73" t="s">
        <v>88</v>
      </c>
      <c r="O48" s="72">
        <v>100</v>
      </c>
      <c r="P48" s="74" t="s">
        <v>93</v>
      </c>
      <c r="Q48" s="75">
        <v>100</v>
      </c>
    </row>
    <row r="49" spans="1:17" x14ac:dyDescent="0.25">
      <c r="A49" s="89"/>
      <c r="B49" s="19">
        <v>6</v>
      </c>
      <c r="C49" s="20" t="s">
        <v>53</v>
      </c>
      <c r="D49" s="19">
        <v>3969</v>
      </c>
      <c r="E49" s="29" t="s">
        <v>105</v>
      </c>
      <c r="F49" s="14">
        <v>6</v>
      </c>
      <c r="G49" s="14">
        <v>5</v>
      </c>
      <c r="H49" s="14">
        <v>5</v>
      </c>
      <c r="I49" s="14">
        <v>23</v>
      </c>
      <c r="J49" s="14">
        <v>21</v>
      </c>
      <c r="K49" s="33"/>
      <c r="L49" s="15">
        <v>100</v>
      </c>
      <c r="M49" s="72">
        <v>100</v>
      </c>
      <c r="N49" s="73" t="s">
        <v>89</v>
      </c>
      <c r="O49" s="72">
        <v>100</v>
      </c>
      <c r="P49" s="74" t="s">
        <v>88</v>
      </c>
      <c r="Q49" s="75">
        <v>100</v>
      </c>
    </row>
    <row r="50" spans="1:17" x14ac:dyDescent="0.25">
      <c r="A50" s="89"/>
      <c r="B50" s="19">
        <v>7</v>
      </c>
      <c r="C50" s="20" t="s">
        <v>54</v>
      </c>
      <c r="D50" s="19">
        <v>4202</v>
      </c>
      <c r="E50" s="29" t="s">
        <v>105</v>
      </c>
      <c r="F50" s="14">
        <v>10</v>
      </c>
      <c r="G50" s="14">
        <v>2</v>
      </c>
      <c r="H50" s="14">
        <v>4</v>
      </c>
      <c r="I50" s="14">
        <v>20</v>
      </c>
      <c r="J50" s="14">
        <v>18</v>
      </c>
      <c r="K50" s="33"/>
      <c r="L50" s="15">
        <v>100</v>
      </c>
      <c r="M50" s="72">
        <v>100</v>
      </c>
      <c r="N50" s="73" t="s">
        <v>89</v>
      </c>
      <c r="O50" s="72">
        <v>100</v>
      </c>
      <c r="P50" s="83" t="s">
        <v>96</v>
      </c>
      <c r="Q50" s="82">
        <v>50</v>
      </c>
    </row>
    <row r="51" spans="1:17" x14ac:dyDescent="0.25">
      <c r="A51" s="89"/>
      <c r="B51" s="19">
        <v>8</v>
      </c>
      <c r="C51" s="20" t="s">
        <v>55</v>
      </c>
      <c r="D51" s="19">
        <v>4268</v>
      </c>
      <c r="E51" s="29" t="s">
        <v>103</v>
      </c>
      <c r="F51" s="14">
        <v>8</v>
      </c>
      <c r="G51" s="14">
        <v>18</v>
      </c>
      <c r="H51" s="14">
        <v>13</v>
      </c>
      <c r="I51" s="14">
        <v>53</v>
      </c>
      <c r="J51" s="14">
        <v>27</v>
      </c>
      <c r="K51" s="33"/>
      <c r="L51" s="15">
        <v>100</v>
      </c>
      <c r="M51" s="72">
        <v>100</v>
      </c>
      <c r="N51" s="73" t="s">
        <v>88</v>
      </c>
      <c r="O51" s="72">
        <v>100</v>
      </c>
      <c r="P51" s="74" t="s">
        <v>91</v>
      </c>
      <c r="Q51" s="75">
        <v>100</v>
      </c>
    </row>
    <row r="52" spans="1:17" x14ac:dyDescent="0.25">
      <c r="A52" s="90"/>
      <c r="B52" s="22">
        <v>9</v>
      </c>
      <c r="C52" s="23" t="s">
        <v>56</v>
      </c>
      <c r="D52" s="22">
        <v>3593</v>
      </c>
      <c r="E52" s="50" t="s">
        <v>103</v>
      </c>
      <c r="F52" s="24">
        <v>10</v>
      </c>
      <c r="G52" s="24">
        <v>11</v>
      </c>
      <c r="H52" s="24">
        <v>7</v>
      </c>
      <c r="I52" s="24">
        <v>36</v>
      </c>
      <c r="J52" s="24">
        <v>22</v>
      </c>
      <c r="K52" s="34"/>
      <c r="L52" s="25">
        <v>100</v>
      </c>
      <c r="M52" s="76">
        <v>100</v>
      </c>
      <c r="N52" s="77" t="s">
        <v>88</v>
      </c>
      <c r="O52" s="76">
        <v>100</v>
      </c>
      <c r="P52" s="78" t="s">
        <v>93</v>
      </c>
      <c r="Q52" s="79">
        <v>100</v>
      </c>
    </row>
    <row r="53" spans="1:17" x14ac:dyDescent="0.25">
      <c r="A53" s="88" t="s">
        <v>73</v>
      </c>
      <c r="B53" s="19">
        <v>2</v>
      </c>
      <c r="C53" s="20" t="s">
        <v>57</v>
      </c>
      <c r="D53" s="19">
        <v>3701</v>
      </c>
      <c r="E53" s="29" t="s">
        <v>105</v>
      </c>
      <c r="F53" s="14">
        <v>9</v>
      </c>
      <c r="G53" s="14">
        <v>3</v>
      </c>
      <c r="H53" s="14">
        <v>3</v>
      </c>
      <c r="I53" s="14">
        <v>21</v>
      </c>
      <c r="J53" s="14">
        <v>18</v>
      </c>
      <c r="K53" s="33"/>
      <c r="L53" s="15">
        <v>100</v>
      </c>
      <c r="M53" s="72">
        <v>100</v>
      </c>
      <c r="N53" s="73" t="s">
        <v>89</v>
      </c>
      <c r="O53" s="72">
        <v>100</v>
      </c>
      <c r="P53" s="74" t="s">
        <v>89</v>
      </c>
      <c r="Q53" s="75">
        <v>100</v>
      </c>
    </row>
    <row r="54" spans="1:17" x14ac:dyDescent="0.25">
      <c r="A54" s="89"/>
      <c r="B54" s="19">
        <v>3</v>
      </c>
      <c r="C54" s="20" t="s">
        <v>58</v>
      </c>
      <c r="D54" s="19">
        <v>4148</v>
      </c>
      <c r="E54" s="29" t="s">
        <v>105</v>
      </c>
      <c r="F54" s="14">
        <v>7</v>
      </c>
      <c r="G54" s="14">
        <v>3</v>
      </c>
      <c r="H54" s="14">
        <v>4</v>
      </c>
      <c r="I54" s="14">
        <v>19</v>
      </c>
      <c r="J54" s="14">
        <v>25</v>
      </c>
      <c r="K54" s="33"/>
      <c r="L54" s="15">
        <v>100</v>
      </c>
      <c r="M54" s="72">
        <v>100</v>
      </c>
      <c r="N54" s="73" t="s">
        <v>89</v>
      </c>
      <c r="O54" s="72">
        <v>100</v>
      </c>
      <c r="P54" s="74" t="s">
        <v>88</v>
      </c>
      <c r="Q54" s="75">
        <v>100</v>
      </c>
    </row>
    <row r="55" spans="1:17" x14ac:dyDescent="0.25">
      <c r="A55" s="89"/>
      <c r="B55" s="19">
        <v>4</v>
      </c>
      <c r="C55" s="20" t="s">
        <v>59</v>
      </c>
      <c r="D55" s="19">
        <v>3357</v>
      </c>
      <c r="E55" s="29" t="s">
        <v>105</v>
      </c>
      <c r="F55" s="14">
        <v>4</v>
      </c>
      <c r="G55" s="14">
        <v>6</v>
      </c>
      <c r="H55" s="14">
        <v>8</v>
      </c>
      <c r="I55" s="14">
        <v>20</v>
      </c>
      <c r="J55" s="14">
        <v>24</v>
      </c>
      <c r="K55" s="33"/>
      <c r="L55" s="15">
        <v>100</v>
      </c>
      <c r="M55" s="72">
        <v>100</v>
      </c>
      <c r="N55" s="73" t="s">
        <v>89</v>
      </c>
      <c r="O55" s="72">
        <v>100</v>
      </c>
      <c r="P55" s="74" t="s">
        <v>89</v>
      </c>
      <c r="Q55" s="75">
        <v>100</v>
      </c>
    </row>
    <row r="56" spans="1:17" x14ac:dyDescent="0.25">
      <c r="A56" s="89"/>
      <c r="B56" s="19">
        <v>5</v>
      </c>
      <c r="C56" s="20" t="s">
        <v>60</v>
      </c>
      <c r="D56" s="19">
        <v>4412</v>
      </c>
      <c r="E56" s="29" t="s">
        <v>105</v>
      </c>
      <c r="F56" s="14">
        <v>7</v>
      </c>
      <c r="G56" s="14">
        <v>2</v>
      </c>
      <c r="H56" s="14">
        <v>4</v>
      </c>
      <c r="I56" s="14">
        <v>13</v>
      </c>
      <c r="J56" s="14">
        <v>27</v>
      </c>
      <c r="K56" s="33"/>
      <c r="L56" s="15">
        <v>100</v>
      </c>
      <c r="M56" s="72">
        <v>100</v>
      </c>
      <c r="N56" s="73" t="s">
        <v>88</v>
      </c>
      <c r="O56" s="72">
        <v>100</v>
      </c>
      <c r="P56" s="74" t="s">
        <v>90</v>
      </c>
      <c r="Q56" s="75">
        <v>100</v>
      </c>
    </row>
    <row r="57" spans="1:17" x14ac:dyDescent="0.25">
      <c r="A57" s="89"/>
      <c r="B57" s="19">
        <v>7</v>
      </c>
      <c r="C57" s="20" t="s">
        <v>61</v>
      </c>
      <c r="D57" s="19">
        <v>3871</v>
      </c>
      <c r="E57" s="29" t="s">
        <v>105</v>
      </c>
      <c r="F57" s="14">
        <v>7</v>
      </c>
      <c r="G57" s="14">
        <v>11</v>
      </c>
      <c r="H57" s="14">
        <v>9</v>
      </c>
      <c r="I57" s="14">
        <v>32</v>
      </c>
      <c r="J57" s="14">
        <v>35</v>
      </c>
      <c r="K57" s="33"/>
      <c r="L57" s="15">
        <v>100</v>
      </c>
      <c r="M57" s="72">
        <v>100</v>
      </c>
      <c r="N57" s="73" t="s">
        <v>88</v>
      </c>
      <c r="O57" s="72">
        <v>100</v>
      </c>
      <c r="P57" s="74" t="s">
        <v>89</v>
      </c>
      <c r="Q57" s="75">
        <v>100</v>
      </c>
    </row>
    <row r="58" spans="1:17" x14ac:dyDescent="0.25">
      <c r="A58" s="89"/>
      <c r="B58" s="19">
        <v>8</v>
      </c>
      <c r="C58" s="20" t="s">
        <v>62</v>
      </c>
      <c r="D58" s="19">
        <v>4292</v>
      </c>
      <c r="E58" s="29" t="s">
        <v>105</v>
      </c>
      <c r="F58" s="14">
        <v>8</v>
      </c>
      <c r="G58" s="14">
        <v>19</v>
      </c>
      <c r="H58" s="14">
        <v>5</v>
      </c>
      <c r="I58" s="14">
        <v>45</v>
      </c>
      <c r="J58" s="14">
        <v>38</v>
      </c>
      <c r="K58" s="33"/>
      <c r="L58" s="15">
        <v>100</v>
      </c>
      <c r="M58" s="72">
        <v>100</v>
      </c>
      <c r="N58" s="73" t="s">
        <v>88</v>
      </c>
      <c r="O58" s="72">
        <v>100</v>
      </c>
      <c r="P58" s="74" t="s">
        <v>89</v>
      </c>
      <c r="Q58" s="75">
        <v>100</v>
      </c>
    </row>
    <row r="59" spans="1:17" x14ac:dyDescent="0.25">
      <c r="A59" s="90"/>
      <c r="B59" s="22">
        <v>9</v>
      </c>
      <c r="C59" s="23" t="s">
        <v>63</v>
      </c>
      <c r="D59" s="22">
        <v>3593</v>
      </c>
      <c r="E59" s="50" t="s">
        <v>105</v>
      </c>
      <c r="F59" s="24">
        <v>6</v>
      </c>
      <c r="G59" s="24">
        <v>6</v>
      </c>
      <c r="H59" s="24">
        <v>7</v>
      </c>
      <c r="I59" s="24">
        <v>28</v>
      </c>
      <c r="J59" s="24">
        <v>22</v>
      </c>
      <c r="K59" s="34"/>
      <c r="L59" s="25">
        <v>100</v>
      </c>
      <c r="M59" s="76">
        <v>100</v>
      </c>
      <c r="N59" s="77" t="s">
        <v>89</v>
      </c>
      <c r="O59" s="76">
        <v>100</v>
      </c>
      <c r="P59" s="78" t="s">
        <v>89</v>
      </c>
      <c r="Q59" s="79">
        <v>100</v>
      </c>
    </row>
    <row r="60" spans="1:17" x14ac:dyDescent="0.25">
      <c r="A60" s="88" t="s">
        <v>74</v>
      </c>
      <c r="B60" s="19">
        <v>2</v>
      </c>
      <c r="C60" s="20" t="s">
        <v>75</v>
      </c>
      <c r="D60" s="19">
        <v>3966</v>
      </c>
      <c r="E60" s="29" t="s">
        <v>105</v>
      </c>
      <c r="F60" s="14">
        <v>8</v>
      </c>
      <c r="G60" s="14">
        <v>12</v>
      </c>
      <c r="H60" s="14">
        <v>10</v>
      </c>
      <c r="I60" s="14">
        <v>40</v>
      </c>
      <c r="J60" s="14">
        <v>17</v>
      </c>
      <c r="K60" s="33"/>
      <c r="L60" s="15">
        <v>100</v>
      </c>
      <c r="M60" s="72">
        <v>100</v>
      </c>
      <c r="N60" s="73" t="s">
        <v>88</v>
      </c>
      <c r="O60" s="72">
        <v>100</v>
      </c>
      <c r="P60" s="74" t="s">
        <v>89</v>
      </c>
      <c r="Q60" s="75">
        <v>100</v>
      </c>
    </row>
    <row r="61" spans="1:17" x14ac:dyDescent="0.25">
      <c r="A61" s="89"/>
      <c r="B61" s="19">
        <v>4</v>
      </c>
      <c r="C61" s="20" t="s">
        <v>76</v>
      </c>
      <c r="D61" s="19">
        <v>3568</v>
      </c>
      <c r="E61" s="29" t="s">
        <v>103</v>
      </c>
      <c r="F61" s="14">
        <v>8</v>
      </c>
      <c r="G61" s="14">
        <v>2</v>
      </c>
      <c r="H61" s="14">
        <v>5</v>
      </c>
      <c r="I61" s="14">
        <v>29</v>
      </c>
      <c r="J61" s="14">
        <v>16</v>
      </c>
      <c r="K61" s="33"/>
      <c r="L61" s="15">
        <v>100</v>
      </c>
      <c r="M61" s="72">
        <v>100</v>
      </c>
      <c r="N61" s="73" t="s">
        <v>88</v>
      </c>
      <c r="O61" s="72">
        <v>100</v>
      </c>
      <c r="P61" s="74" t="s">
        <v>89</v>
      </c>
      <c r="Q61" s="75">
        <v>100</v>
      </c>
    </row>
    <row r="62" spans="1:17" x14ac:dyDescent="0.25">
      <c r="A62" s="89"/>
      <c r="B62" s="19">
        <v>7</v>
      </c>
      <c r="C62" s="20" t="s">
        <v>77</v>
      </c>
      <c r="D62" s="19">
        <v>5012</v>
      </c>
      <c r="E62" s="29" t="s">
        <v>16</v>
      </c>
      <c r="F62" s="14">
        <v>17</v>
      </c>
      <c r="G62" s="14">
        <v>6</v>
      </c>
      <c r="H62" s="14">
        <v>4</v>
      </c>
      <c r="I62" s="14">
        <v>44</v>
      </c>
      <c r="J62" s="14">
        <v>31</v>
      </c>
      <c r="K62" s="33"/>
      <c r="L62" s="15">
        <v>100</v>
      </c>
      <c r="M62" s="72">
        <v>100</v>
      </c>
      <c r="N62" s="73" t="s">
        <v>89</v>
      </c>
      <c r="O62" s="72">
        <v>100</v>
      </c>
      <c r="P62" s="83" t="s">
        <v>97</v>
      </c>
      <c r="Q62" s="82">
        <v>50</v>
      </c>
    </row>
    <row r="63" spans="1:17" x14ac:dyDescent="0.25">
      <c r="A63" s="89"/>
      <c r="B63" s="19">
        <v>9</v>
      </c>
      <c r="C63" s="20" t="s">
        <v>78</v>
      </c>
      <c r="D63" s="19">
        <v>4133</v>
      </c>
      <c r="E63" s="29" t="s">
        <v>103</v>
      </c>
      <c r="F63" s="14">
        <v>8</v>
      </c>
      <c r="G63" s="14">
        <v>17</v>
      </c>
      <c r="H63" s="14">
        <v>6</v>
      </c>
      <c r="I63" s="14">
        <v>49</v>
      </c>
      <c r="J63" s="14">
        <v>13</v>
      </c>
      <c r="K63" s="33"/>
      <c r="L63" s="15">
        <v>100</v>
      </c>
      <c r="M63" s="72">
        <v>100</v>
      </c>
      <c r="N63" s="73" t="s">
        <v>89</v>
      </c>
      <c r="O63" s="72">
        <v>100</v>
      </c>
      <c r="P63" s="81" t="s">
        <v>93</v>
      </c>
      <c r="Q63" s="75">
        <v>100</v>
      </c>
    </row>
    <row r="64" spans="1:17" x14ac:dyDescent="0.25">
      <c r="A64" s="89"/>
      <c r="B64" s="19">
        <v>10</v>
      </c>
      <c r="C64" s="20" t="s">
        <v>79</v>
      </c>
      <c r="D64" s="19">
        <v>3345</v>
      </c>
      <c r="E64" s="29" t="s">
        <v>16</v>
      </c>
      <c r="F64" s="14">
        <v>6</v>
      </c>
      <c r="G64" s="14">
        <v>19</v>
      </c>
      <c r="H64" s="14">
        <v>7</v>
      </c>
      <c r="I64" s="14">
        <v>51</v>
      </c>
      <c r="J64" s="14">
        <v>15</v>
      </c>
      <c r="K64" s="33"/>
      <c r="L64" s="15">
        <v>100</v>
      </c>
      <c r="M64" s="72">
        <v>100</v>
      </c>
      <c r="N64" s="73" t="s">
        <v>88</v>
      </c>
      <c r="O64" s="72">
        <v>100</v>
      </c>
      <c r="P64" s="74" t="s">
        <v>91</v>
      </c>
      <c r="Q64" s="75">
        <v>100</v>
      </c>
    </row>
    <row r="65" spans="1:17" x14ac:dyDescent="0.25">
      <c r="A65" s="89"/>
      <c r="B65" s="19">
        <v>11</v>
      </c>
      <c r="C65" s="20" t="s">
        <v>80</v>
      </c>
      <c r="D65" s="19">
        <v>3490</v>
      </c>
      <c r="E65" s="29" t="s">
        <v>103</v>
      </c>
      <c r="F65" s="14">
        <v>6</v>
      </c>
      <c r="G65" s="14">
        <v>3</v>
      </c>
      <c r="H65" s="14">
        <v>2</v>
      </c>
      <c r="I65" s="14">
        <v>26</v>
      </c>
      <c r="J65" s="14">
        <v>14</v>
      </c>
      <c r="K65" s="33"/>
      <c r="L65" s="15">
        <v>100</v>
      </c>
      <c r="M65" s="72">
        <v>100</v>
      </c>
      <c r="N65" s="73" t="s">
        <v>88</v>
      </c>
      <c r="O65" s="72">
        <v>100</v>
      </c>
      <c r="P65" s="74" t="s">
        <v>93</v>
      </c>
      <c r="Q65" s="75">
        <v>100</v>
      </c>
    </row>
    <row r="66" spans="1:17" x14ac:dyDescent="0.25">
      <c r="A66" s="90"/>
      <c r="B66" s="22">
        <v>12</v>
      </c>
      <c r="C66" s="23" t="s">
        <v>81</v>
      </c>
      <c r="D66" s="22">
        <v>3376</v>
      </c>
      <c r="E66" s="50" t="s">
        <v>105</v>
      </c>
      <c r="F66" s="24">
        <v>6</v>
      </c>
      <c r="G66" s="24">
        <v>3</v>
      </c>
      <c r="H66" s="24">
        <v>5</v>
      </c>
      <c r="I66" s="24">
        <v>16</v>
      </c>
      <c r="J66" s="24">
        <v>21</v>
      </c>
      <c r="K66" s="34"/>
      <c r="L66" s="15">
        <v>100</v>
      </c>
      <c r="M66" s="72">
        <v>100</v>
      </c>
      <c r="N66" s="73" t="s">
        <v>90</v>
      </c>
      <c r="O66" s="72">
        <v>100</v>
      </c>
      <c r="P66" s="74" t="s">
        <v>90</v>
      </c>
      <c r="Q66" s="75">
        <v>100</v>
      </c>
    </row>
    <row r="67" spans="1:17" ht="28.5" x14ac:dyDescent="0.25">
      <c r="A67" s="37"/>
      <c r="B67" s="38"/>
      <c r="C67" s="39"/>
      <c r="D67" s="40"/>
      <c r="E67" s="51"/>
      <c r="F67" s="39"/>
      <c r="G67" s="41"/>
      <c r="H67" s="42"/>
      <c r="I67" s="41"/>
      <c r="J67" s="43" t="s">
        <v>108</v>
      </c>
      <c r="K67" s="44"/>
      <c r="L67" s="45">
        <v>100</v>
      </c>
      <c r="M67" s="45">
        <v>99.7</v>
      </c>
      <c r="N67" s="46" t="s">
        <v>116</v>
      </c>
      <c r="O67" s="45">
        <v>98.6</v>
      </c>
      <c r="P67" s="46" t="s">
        <v>109</v>
      </c>
      <c r="Q67" s="47">
        <v>97.1</v>
      </c>
    </row>
  </sheetData>
  <mergeCells count="10">
    <mergeCell ref="A36:A44"/>
    <mergeCell ref="A45:A52"/>
    <mergeCell ref="A53:A59"/>
    <mergeCell ref="A60:A66"/>
    <mergeCell ref="A2:A6"/>
    <mergeCell ref="A7:A10"/>
    <mergeCell ref="A11:A18"/>
    <mergeCell ref="A19:A23"/>
    <mergeCell ref="A24:A29"/>
    <mergeCell ref="A30:A35"/>
  </mergeCells>
  <conditionalFormatting sqref="F2:J59">
    <cfRule type="colorScale" priority="16">
      <colorScale>
        <cfvo type="min"/>
        <cfvo type="max"/>
        <color rgb="FFFCFCFF"/>
        <color rgb="FF63BE7B"/>
      </colorScale>
    </cfRule>
  </conditionalFormatting>
  <conditionalFormatting sqref="F60:J66">
    <cfRule type="colorScale" priority="8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scale="4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56FB-8F32-4F65-BCA4-CDFEC02322FB}">
  <dimension ref="A1:T70"/>
  <sheetViews>
    <sheetView workbookViewId="0">
      <selection activeCell="H67" sqref="H67:L70"/>
    </sheetView>
  </sheetViews>
  <sheetFormatPr defaultRowHeight="15" x14ac:dyDescent="0.25"/>
  <cols>
    <col min="1" max="1" width="22.85546875" customWidth="1"/>
    <col min="3" max="3" width="24.7109375" customWidth="1"/>
    <col min="4" max="4" width="5" bestFit="1" customWidth="1"/>
    <col min="5" max="5" width="7" customWidth="1"/>
    <col min="6" max="11" width="2.7109375" customWidth="1"/>
    <col min="12" max="12" width="9.140625" style="2"/>
    <col min="15" max="15" width="6.42578125" bestFit="1" customWidth="1"/>
    <col min="16" max="16" width="4" bestFit="1" customWidth="1"/>
    <col min="17" max="17" width="3.5703125" bestFit="1" customWidth="1"/>
    <col min="18" max="18" width="4" bestFit="1" customWidth="1"/>
    <col min="19" max="19" width="3.5703125" bestFit="1" customWidth="1"/>
    <col min="20" max="20" width="4" bestFit="1" customWidth="1"/>
  </cols>
  <sheetData>
    <row r="1" spans="1:20" ht="180" x14ac:dyDescent="0.25">
      <c r="A1" s="30" t="s">
        <v>107</v>
      </c>
      <c r="B1" s="7" t="s">
        <v>68</v>
      </c>
      <c r="C1" s="36" t="s">
        <v>0</v>
      </c>
      <c r="D1" s="8" t="s">
        <v>1</v>
      </c>
      <c r="E1" s="48" t="s">
        <v>2</v>
      </c>
      <c r="F1" s="8" t="s">
        <v>3</v>
      </c>
      <c r="G1" s="8" t="s">
        <v>4</v>
      </c>
      <c r="H1" s="8" t="s">
        <v>5</v>
      </c>
      <c r="I1" s="8" t="s">
        <v>6</v>
      </c>
      <c r="J1" s="9" t="s">
        <v>7</v>
      </c>
      <c r="K1" s="57"/>
      <c r="L1" s="70" t="s">
        <v>111</v>
      </c>
      <c r="P1" s="55" t="s">
        <v>3</v>
      </c>
      <c r="Q1" s="55" t="s">
        <v>4</v>
      </c>
      <c r="R1" s="55" t="s">
        <v>5</v>
      </c>
      <c r="S1" s="55" t="s">
        <v>6</v>
      </c>
      <c r="T1" s="55" t="s">
        <v>7</v>
      </c>
    </row>
    <row r="2" spans="1:20" x14ac:dyDescent="0.25">
      <c r="A2" s="91" t="s">
        <v>64</v>
      </c>
      <c r="B2" s="12">
        <v>2</v>
      </c>
      <c r="C2" s="13" t="s">
        <v>8</v>
      </c>
      <c r="D2" s="12">
        <v>3826</v>
      </c>
      <c r="E2" s="49" t="s">
        <v>103</v>
      </c>
      <c r="F2" s="14">
        <v>11</v>
      </c>
      <c r="G2" s="14">
        <v>3</v>
      </c>
      <c r="H2" s="14">
        <v>11</v>
      </c>
      <c r="I2" s="14">
        <v>32</v>
      </c>
      <c r="J2" s="14">
        <v>24</v>
      </c>
      <c r="K2" s="58"/>
      <c r="L2" s="2">
        <f>F2*$P$2+G2*$Q$2+H2*$R$2+I2*$S$2+J2*$T$2</f>
        <v>47.5</v>
      </c>
      <c r="O2" t="s">
        <v>110</v>
      </c>
      <c r="P2">
        <v>0.5</v>
      </c>
      <c r="Q2">
        <v>1</v>
      </c>
      <c r="R2">
        <v>0.2</v>
      </c>
      <c r="S2">
        <v>1</v>
      </c>
      <c r="T2">
        <v>0.2</v>
      </c>
    </row>
    <row r="3" spans="1:20" x14ac:dyDescent="0.25">
      <c r="A3" s="92"/>
      <c r="B3" s="19">
        <v>3</v>
      </c>
      <c r="C3" s="20" t="s">
        <v>9</v>
      </c>
      <c r="D3" s="19">
        <v>4808</v>
      </c>
      <c r="E3" s="29" t="s">
        <v>104</v>
      </c>
      <c r="F3" s="14">
        <v>11</v>
      </c>
      <c r="G3" s="14">
        <v>11</v>
      </c>
      <c r="H3" s="14">
        <v>1</v>
      </c>
      <c r="I3" s="14">
        <v>32</v>
      </c>
      <c r="J3" s="14">
        <v>27</v>
      </c>
      <c r="K3" s="58"/>
      <c r="L3" s="2">
        <f t="shared" ref="L3:L66" si="0">F3*$P$2+G3*$Q$2+H3*$R$2+I3*$S$2+J3*$T$2</f>
        <v>54.1</v>
      </c>
    </row>
    <row r="4" spans="1:20" x14ac:dyDescent="0.25">
      <c r="A4" s="92"/>
      <c r="B4" s="19">
        <v>4</v>
      </c>
      <c r="C4" s="20" t="s">
        <v>10</v>
      </c>
      <c r="D4" s="19">
        <v>4762</v>
      </c>
      <c r="E4" s="29" t="s">
        <v>104</v>
      </c>
      <c r="F4" s="14">
        <v>9</v>
      </c>
      <c r="G4" s="14">
        <v>3</v>
      </c>
      <c r="H4" s="14">
        <v>7</v>
      </c>
      <c r="I4" s="14">
        <v>26</v>
      </c>
      <c r="J4" s="14">
        <v>26</v>
      </c>
      <c r="K4" s="58"/>
      <c r="L4" s="2">
        <f t="shared" si="0"/>
        <v>40.1</v>
      </c>
    </row>
    <row r="5" spans="1:20" x14ac:dyDescent="0.25">
      <c r="A5" s="92"/>
      <c r="B5" s="19">
        <v>5</v>
      </c>
      <c r="C5" s="20" t="s">
        <v>11</v>
      </c>
      <c r="D5" s="19">
        <v>4378</v>
      </c>
      <c r="E5" s="29" t="s">
        <v>104</v>
      </c>
      <c r="F5" s="14">
        <v>8</v>
      </c>
      <c r="G5" s="14">
        <v>12</v>
      </c>
      <c r="H5" s="14">
        <v>5</v>
      </c>
      <c r="I5" s="14">
        <v>33</v>
      </c>
      <c r="J5" s="14">
        <v>27</v>
      </c>
      <c r="K5" s="58"/>
      <c r="L5" s="2">
        <f t="shared" si="0"/>
        <v>55.4</v>
      </c>
    </row>
    <row r="6" spans="1:20" x14ac:dyDescent="0.25">
      <c r="A6" s="93"/>
      <c r="B6" s="22">
        <v>6</v>
      </c>
      <c r="C6" s="23" t="s">
        <v>12</v>
      </c>
      <c r="D6" s="22">
        <v>4408</v>
      </c>
      <c r="E6" s="50" t="s">
        <v>103</v>
      </c>
      <c r="F6" s="24">
        <v>7</v>
      </c>
      <c r="G6" s="24">
        <v>14</v>
      </c>
      <c r="H6" s="24">
        <v>4</v>
      </c>
      <c r="I6" s="24">
        <v>32</v>
      </c>
      <c r="J6" s="24">
        <v>21</v>
      </c>
      <c r="K6" s="58"/>
      <c r="L6" s="2">
        <f t="shared" si="0"/>
        <v>54.5</v>
      </c>
    </row>
    <row r="7" spans="1:20" x14ac:dyDescent="0.25">
      <c r="A7" s="88" t="s">
        <v>65</v>
      </c>
      <c r="B7" s="19">
        <v>2</v>
      </c>
      <c r="C7" s="20" t="s">
        <v>13</v>
      </c>
      <c r="D7" s="19">
        <v>3752</v>
      </c>
      <c r="E7" s="29" t="s">
        <v>105</v>
      </c>
      <c r="F7" s="14">
        <v>8</v>
      </c>
      <c r="G7" s="14">
        <v>3</v>
      </c>
      <c r="H7" s="14">
        <v>5</v>
      </c>
      <c r="I7" s="14">
        <v>21</v>
      </c>
      <c r="J7" s="14">
        <v>17</v>
      </c>
      <c r="K7" s="58"/>
      <c r="L7" s="2">
        <f t="shared" si="0"/>
        <v>32.4</v>
      </c>
    </row>
    <row r="8" spans="1:20" x14ac:dyDescent="0.25">
      <c r="A8" s="89"/>
      <c r="B8" s="19">
        <v>3</v>
      </c>
      <c r="C8" s="20" t="s">
        <v>14</v>
      </c>
      <c r="D8" s="19">
        <v>3613</v>
      </c>
      <c r="E8" s="29" t="s">
        <v>105</v>
      </c>
      <c r="F8" s="14">
        <v>9</v>
      </c>
      <c r="G8" s="14">
        <v>1</v>
      </c>
      <c r="H8" s="14">
        <v>5</v>
      </c>
      <c r="I8" s="14">
        <v>17</v>
      </c>
      <c r="J8" s="14">
        <v>23</v>
      </c>
      <c r="K8" s="58"/>
      <c r="L8" s="2">
        <f t="shared" si="0"/>
        <v>28.1</v>
      </c>
    </row>
    <row r="9" spans="1:20" x14ac:dyDescent="0.25">
      <c r="A9" s="89"/>
      <c r="B9" s="19">
        <v>4</v>
      </c>
      <c r="C9" s="20" t="s">
        <v>15</v>
      </c>
      <c r="D9" s="19">
        <v>4078</v>
      </c>
      <c r="E9" s="29" t="s">
        <v>104</v>
      </c>
      <c r="F9" s="14">
        <v>8</v>
      </c>
      <c r="G9" s="14">
        <v>5</v>
      </c>
      <c r="H9" s="14">
        <v>8</v>
      </c>
      <c r="I9" s="14">
        <v>29</v>
      </c>
      <c r="J9" s="14">
        <v>23</v>
      </c>
      <c r="K9" s="58"/>
      <c r="L9" s="2">
        <f t="shared" si="0"/>
        <v>44.2</v>
      </c>
    </row>
    <row r="10" spans="1:20" x14ac:dyDescent="0.25">
      <c r="A10" s="90"/>
      <c r="B10" s="22">
        <v>6</v>
      </c>
      <c r="C10" s="23" t="s">
        <v>17</v>
      </c>
      <c r="D10" s="22">
        <v>3314</v>
      </c>
      <c r="E10" s="50" t="s">
        <v>103</v>
      </c>
      <c r="F10" s="24">
        <v>9</v>
      </c>
      <c r="G10" s="24">
        <v>4</v>
      </c>
      <c r="H10" s="24">
        <v>4</v>
      </c>
      <c r="I10" s="24">
        <v>25</v>
      </c>
      <c r="J10" s="24">
        <v>14</v>
      </c>
      <c r="K10" s="58"/>
      <c r="L10" s="2">
        <f t="shared" si="0"/>
        <v>37.099999999999994</v>
      </c>
    </row>
    <row r="11" spans="1:20" x14ac:dyDescent="0.25">
      <c r="A11" s="88" t="s">
        <v>66</v>
      </c>
      <c r="B11" s="19">
        <v>2</v>
      </c>
      <c r="C11" s="20" t="s">
        <v>18</v>
      </c>
      <c r="D11" s="19">
        <v>4826</v>
      </c>
      <c r="E11" s="29" t="s">
        <v>103</v>
      </c>
      <c r="F11" s="14">
        <v>9</v>
      </c>
      <c r="G11" s="14">
        <v>3</v>
      </c>
      <c r="H11" s="14">
        <v>11</v>
      </c>
      <c r="I11" s="14">
        <v>39</v>
      </c>
      <c r="J11" s="14">
        <v>30</v>
      </c>
      <c r="K11" s="58"/>
      <c r="L11" s="2">
        <f t="shared" si="0"/>
        <v>54.7</v>
      </c>
    </row>
    <row r="12" spans="1:20" x14ac:dyDescent="0.25">
      <c r="A12" s="89"/>
      <c r="B12" s="19">
        <v>3</v>
      </c>
      <c r="C12" s="20" t="s">
        <v>19</v>
      </c>
      <c r="D12" s="19">
        <v>4339</v>
      </c>
      <c r="E12" s="29" t="s">
        <v>105</v>
      </c>
      <c r="F12" s="14">
        <v>5</v>
      </c>
      <c r="G12" s="14">
        <v>3</v>
      </c>
      <c r="H12" s="14">
        <v>2</v>
      </c>
      <c r="I12" s="14">
        <v>13</v>
      </c>
      <c r="J12" s="14">
        <v>15</v>
      </c>
      <c r="K12" s="58"/>
      <c r="L12" s="2">
        <f t="shared" si="0"/>
        <v>21.9</v>
      </c>
    </row>
    <row r="13" spans="1:20" x14ac:dyDescent="0.25">
      <c r="A13" s="89"/>
      <c r="B13" s="19">
        <v>4</v>
      </c>
      <c r="C13" s="20" t="s">
        <v>20</v>
      </c>
      <c r="D13" s="19">
        <v>4525</v>
      </c>
      <c r="E13" s="29" t="s">
        <v>105</v>
      </c>
      <c r="F13" s="14">
        <v>11</v>
      </c>
      <c r="G13" s="14">
        <v>19</v>
      </c>
      <c r="H13" s="14">
        <v>11</v>
      </c>
      <c r="I13" s="14">
        <v>47</v>
      </c>
      <c r="J13" s="14">
        <v>38</v>
      </c>
      <c r="K13" s="58"/>
      <c r="L13" s="2">
        <f t="shared" si="0"/>
        <v>81.3</v>
      </c>
    </row>
    <row r="14" spans="1:20" x14ac:dyDescent="0.25">
      <c r="A14" s="89"/>
      <c r="B14" s="19">
        <v>5</v>
      </c>
      <c r="C14" s="20" t="s">
        <v>21</v>
      </c>
      <c r="D14" s="19">
        <v>4599</v>
      </c>
      <c r="E14" s="29" t="s">
        <v>105</v>
      </c>
      <c r="F14" s="14">
        <v>11</v>
      </c>
      <c r="G14" s="14">
        <v>4</v>
      </c>
      <c r="H14" s="14">
        <v>7</v>
      </c>
      <c r="I14" s="14">
        <v>27</v>
      </c>
      <c r="J14" s="14">
        <v>21</v>
      </c>
      <c r="K14" s="58"/>
      <c r="L14" s="2">
        <f t="shared" si="0"/>
        <v>42.1</v>
      </c>
    </row>
    <row r="15" spans="1:20" x14ac:dyDescent="0.25">
      <c r="A15" s="89"/>
      <c r="B15" s="19">
        <v>6</v>
      </c>
      <c r="C15" s="20" t="s">
        <v>22</v>
      </c>
      <c r="D15" s="19">
        <v>5368</v>
      </c>
      <c r="E15" s="29" t="s">
        <v>105</v>
      </c>
      <c r="F15" s="14">
        <v>10</v>
      </c>
      <c r="G15" s="14">
        <v>17</v>
      </c>
      <c r="H15" s="14">
        <v>9</v>
      </c>
      <c r="I15" s="14">
        <v>49</v>
      </c>
      <c r="J15" s="14">
        <v>32</v>
      </c>
      <c r="K15" s="58"/>
      <c r="L15" s="2">
        <f t="shared" si="0"/>
        <v>79.2</v>
      </c>
    </row>
    <row r="16" spans="1:20" x14ac:dyDescent="0.25">
      <c r="A16" s="89"/>
      <c r="B16" s="19">
        <v>7</v>
      </c>
      <c r="C16" s="20" t="s">
        <v>23</v>
      </c>
      <c r="D16" s="19">
        <v>3975</v>
      </c>
      <c r="E16" s="29" t="s">
        <v>105</v>
      </c>
      <c r="F16" s="14">
        <v>10</v>
      </c>
      <c r="G16" s="14">
        <v>14</v>
      </c>
      <c r="H16" s="14">
        <v>20</v>
      </c>
      <c r="I16" s="14">
        <v>52</v>
      </c>
      <c r="J16" s="14">
        <v>30</v>
      </c>
      <c r="K16" s="58"/>
      <c r="L16" s="2">
        <f t="shared" si="0"/>
        <v>81</v>
      </c>
    </row>
    <row r="17" spans="1:12" x14ac:dyDescent="0.25">
      <c r="A17" s="89"/>
      <c r="B17" s="19">
        <v>8</v>
      </c>
      <c r="C17" s="20" t="s">
        <v>24</v>
      </c>
      <c r="D17" s="19">
        <v>4370</v>
      </c>
      <c r="E17" s="29" t="s">
        <v>103</v>
      </c>
      <c r="F17" s="14">
        <v>9</v>
      </c>
      <c r="G17" s="14">
        <v>5</v>
      </c>
      <c r="H17" s="14">
        <v>1</v>
      </c>
      <c r="I17" s="14">
        <v>23</v>
      </c>
      <c r="J17" s="14">
        <v>15</v>
      </c>
      <c r="K17" s="58"/>
      <c r="L17" s="2">
        <f t="shared" si="0"/>
        <v>35.700000000000003</v>
      </c>
    </row>
    <row r="18" spans="1:12" x14ac:dyDescent="0.25">
      <c r="A18" s="90"/>
      <c r="B18" s="22">
        <v>9</v>
      </c>
      <c r="C18" s="23" t="s">
        <v>25</v>
      </c>
      <c r="D18" s="22">
        <v>3918</v>
      </c>
      <c r="E18" s="50" t="s">
        <v>105</v>
      </c>
      <c r="F18" s="24">
        <v>6</v>
      </c>
      <c r="G18" s="24">
        <v>6</v>
      </c>
      <c r="H18" s="24">
        <v>3</v>
      </c>
      <c r="I18" s="24">
        <v>21</v>
      </c>
      <c r="J18" s="24">
        <v>15</v>
      </c>
      <c r="K18" s="58"/>
      <c r="L18" s="2">
        <f t="shared" si="0"/>
        <v>33.6</v>
      </c>
    </row>
    <row r="19" spans="1:12" x14ac:dyDescent="0.25">
      <c r="A19" s="88" t="s">
        <v>67</v>
      </c>
      <c r="B19" s="19">
        <v>2</v>
      </c>
      <c r="C19" s="20" t="s">
        <v>26</v>
      </c>
      <c r="D19" s="19">
        <v>5415</v>
      </c>
      <c r="E19" s="29" t="s">
        <v>105</v>
      </c>
      <c r="F19" s="14">
        <v>13</v>
      </c>
      <c r="G19" s="14">
        <v>26</v>
      </c>
      <c r="H19" s="14">
        <v>14</v>
      </c>
      <c r="I19" s="14">
        <v>68</v>
      </c>
      <c r="J19" s="14">
        <v>57</v>
      </c>
      <c r="K19" s="58"/>
      <c r="L19" s="2">
        <f t="shared" si="0"/>
        <v>114.7</v>
      </c>
    </row>
    <row r="20" spans="1:12" x14ac:dyDescent="0.25">
      <c r="A20" s="89"/>
      <c r="B20" s="19">
        <v>3</v>
      </c>
      <c r="C20" s="20" t="s">
        <v>27</v>
      </c>
      <c r="D20" s="19">
        <v>4698</v>
      </c>
      <c r="E20" s="29" t="s">
        <v>103</v>
      </c>
      <c r="F20" s="14">
        <v>20</v>
      </c>
      <c r="G20" s="14">
        <v>29</v>
      </c>
      <c r="H20" s="14">
        <v>2</v>
      </c>
      <c r="I20" s="14">
        <v>5</v>
      </c>
      <c r="J20" s="14">
        <v>3</v>
      </c>
      <c r="K20" s="58"/>
      <c r="L20" s="2">
        <f t="shared" si="0"/>
        <v>45</v>
      </c>
    </row>
    <row r="21" spans="1:12" x14ac:dyDescent="0.25">
      <c r="A21" s="89"/>
      <c r="B21" s="19">
        <v>4</v>
      </c>
      <c r="C21" s="20" t="s">
        <v>28</v>
      </c>
      <c r="D21" s="19">
        <v>4373</v>
      </c>
      <c r="E21" s="29" t="s">
        <v>105</v>
      </c>
      <c r="F21" s="14">
        <v>14</v>
      </c>
      <c r="G21" s="14">
        <v>5</v>
      </c>
      <c r="H21" s="14">
        <v>5</v>
      </c>
      <c r="I21" s="14">
        <v>3</v>
      </c>
      <c r="J21" s="14">
        <v>17</v>
      </c>
      <c r="K21" s="58"/>
      <c r="L21" s="2">
        <f t="shared" si="0"/>
        <v>19.399999999999999</v>
      </c>
    </row>
    <row r="22" spans="1:12" x14ac:dyDescent="0.25">
      <c r="A22" s="89"/>
      <c r="B22" s="19">
        <v>5</v>
      </c>
      <c r="C22" s="20" t="s">
        <v>29</v>
      </c>
      <c r="D22" s="19">
        <v>4432</v>
      </c>
      <c r="E22" s="29" t="s">
        <v>105</v>
      </c>
      <c r="F22" s="14">
        <v>10</v>
      </c>
      <c r="G22" s="14">
        <v>7</v>
      </c>
      <c r="H22" s="14">
        <v>4</v>
      </c>
      <c r="I22" s="14">
        <v>27</v>
      </c>
      <c r="J22" s="14">
        <v>14</v>
      </c>
      <c r="K22" s="58"/>
      <c r="L22" s="2">
        <f t="shared" si="0"/>
        <v>42.599999999999994</v>
      </c>
    </row>
    <row r="23" spans="1:12" x14ac:dyDescent="0.25">
      <c r="A23" s="90"/>
      <c r="B23" s="22">
        <v>6</v>
      </c>
      <c r="C23" s="23" t="s">
        <v>30</v>
      </c>
      <c r="D23" s="22">
        <v>3665</v>
      </c>
      <c r="E23" s="50" t="s">
        <v>103</v>
      </c>
      <c r="F23" s="24">
        <v>6</v>
      </c>
      <c r="G23" s="24">
        <v>2</v>
      </c>
      <c r="H23" s="24">
        <v>6</v>
      </c>
      <c r="I23" s="24">
        <v>18</v>
      </c>
      <c r="J23" s="24">
        <v>22</v>
      </c>
      <c r="K23" s="58"/>
      <c r="L23" s="2">
        <f t="shared" si="0"/>
        <v>28.6</v>
      </c>
    </row>
    <row r="24" spans="1:12" x14ac:dyDescent="0.25">
      <c r="A24" s="88" t="s">
        <v>69</v>
      </c>
      <c r="B24" s="19">
        <v>2</v>
      </c>
      <c r="C24" s="20" t="s">
        <v>31</v>
      </c>
      <c r="D24" s="19">
        <v>4130</v>
      </c>
      <c r="E24" s="29" t="s">
        <v>103</v>
      </c>
      <c r="F24" s="14">
        <v>7</v>
      </c>
      <c r="G24" s="14">
        <v>2</v>
      </c>
      <c r="H24" s="14">
        <v>6</v>
      </c>
      <c r="I24" s="14">
        <v>20</v>
      </c>
      <c r="J24" s="14">
        <v>17</v>
      </c>
      <c r="K24" s="58"/>
      <c r="L24" s="2">
        <f t="shared" si="0"/>
        <v>30.1</v>
      </c>
    </row>
    <row r="25" spans="1:12" x14ac:dyDescent="0.25">
      <c r="A25" s="89"/>
      <c r="B25" s="19">
        <v>3</v>
      </c>
      <c r="C25" s="20" t="s">
        <v>32</v>
      </c>
      <c r="D25" s="19">
        <v>3318</v>
      </c>
      <c r="E25" s="29" t="s">
        <v>105</v>
      </c>
      <c r="F25" s="14">
        <v>6</v>
      </c>
      <c r="G25" s="14">
        <v>2</v>
      </c>
      <c r="H25" s="14">
        <v>5</v>
      </c>
      <c r="I25" s="14">
        <v>16</v>
      </c>
      <c r="J25" s="14">
        <v>19</v>
      </c>
      <c r="K25" s="58"/>
      <c r="L25" s="2">
        <f t="shared" si="0"/>
        <v>25.8</v>
      </c>
    </row>
    <row r="26" spans="1:12" x14ac:dyDescent="0.25">
      <c r="A26" s="89"/>
      <c r="B26" s="19">
        <v>4</v>
      </c>
      <c r="C26" s="20" t="s">
        <v>33</v>
      </c>
      <c r="D26" s="19">
        <v>4457</v>
      </c>
      <c r="E26" s="29" t="s">
        <v>103</v>
      </c>
      <c r="F26" s="14">
        <v>9</v>
      </c>
      <c r="G26" s="14">
        <v>1</v>
      </c>
      <c r="H26" s="14">
        <v>6</v>
      </c>
      <c r="I26" s="14">
        <v>19</v>
      </c>
      <c r="J26" s="14">
        <v>20</v>
      </c>
      <c r="K26" s="58"/>
      <c r="L26" s="2">
        <f t="shared" si="0"/>
        <v>29.7</v>
      </c>
    </row>
    <row r="27" spans="1:12" x14ac:dyDescent="0.25">
      <c r="A27" s="89"/>
      <c r="B27" s="19">
        <v>5</v>
      </c>
      <c r="C27" s="20" t="s">
        <v>34</v>
      </c>
      <c r="D27" s="19">
        <v>5221</v>
      </c>
      <c r="E27" s="29" t="s">
        <v>35</v>
      </c>
      <c r="F27" s="14">
        <v>16</v>
      </c>
      <c r="G27" s="14">
        <v>4</v>
      </c>
      <c r="H27" s="14">
        <v>2</v>
      </c>
      <c r="I27" s="14">
        <v>36</v>
      </c>
      <c r="J27" s="14">
        <v>40</v>
      </c>
      <c r="K27" s="58"/>
      <c r="L27" s="2">
        <f t="shared" si="0"/>
        <v>56.4</v>
      </c>
    </row>
    <row r="28" spans="1:12" x14ac:dyDescent="0.25">
      <c r="A28" s="89"/>
      <c r="B28" s="19">
        <v>6</v>
      </c>
      <c r="C28" s="20" t="s">
        <v>36</v>
      </c>
      <c r="D28" s="19">
        <v>3791</v>
      </c>
      <c r="E28" s="29" t="s">
        <v>103</v>
      </c>
      <c r="F28" s="14">
        <v>8</v>
      </c>
      <c r="G28" s="14">
        <v>23</v>
      </c>
      <c r="H28" s="14">
        <v>9</v>
      </c>
      <c r="I28" s="14">
        <v>51</v>
      </c>
      <c r="J28" s="14">
        <v>26</v>
      </c>
      <c r="K28" s="58"/>
      <c r="L28" s="2">
        <f t="shared" si="0"/>
        <v>85</v>
      </c>
    </row>
    <row r="29" spans="1:12" x14ac:dyDescent="0.25">
      <c r="A29" s="90"/>
      <c r="B29" s="22">
        <v>7</v>
      </c>
      <c r="C29" s="23" t="s">
        <v>37</v>
      </c>
      <c r="D29" s="22">
        <v>3811</v>
      </c>
      <c r="E29" s="50" t="s">
        <v>103</v>
      </c>
      <c r="F29" s="24">
        <v>9</v>
      </c>
      <c r="G29" s="24">
        <v>2</v>
      </c>
      <c r="H29" s="24">
        <v>10</v>
      </c>
      <c r="I29" s="24">
        <v>29</v>
      </c>
      <c r="J29" s="24">
        <v>34</v>
      </c>
      <c r="K29" s="58"/>
      <c r="L29" s="2">
        <f t="shared" si="0"/>
        <v>44.3</v>
      </c>
    </row>
    <row r="30" spans="1:12" x14ac:dyDescent="0.25">
      <c r="A30" s="88" t="s">
        <v>70</v>
      </c>
      <c r="B30" s="19">
        <v>2</v>
      </c>
      <c r="C30" s="20" t="s">
        <v>38</v>
      </c>
      <c r="D30" s="19">
        <v>3773</v>
      </c>
      <c r="E30" s="29" t="s">
        <v>103</v>
      </c>
      <c r="F30" s="14">
        <v>9</v>
      </c>
      <c r="G30" s="14">
        <v>2</v>
      </c>
      <c r="H30" s="14">
        <v>5</v>
      </c>
      <c r="I30" s="14">
        <v>24</v>
      </c>
      <c r="J30" s="14">
        <v>11</v>
      </c>
      <c r="K30" s="58"/>
      <c r="L30" s="2">
        <f t="shared" si="0"/>
        <v>33.700000000000003</v>
      </c>
    </row>
    <row r="31" spans="1:12" x14ac:dyDescent="0.25">
      <c r="A31" s="89"/>
      <c r="B31" s="19">
        <v>3</v>
      </c>
      <c r="C31" s="20" t="s">
        <v>39</v>
      </c>
      <c r="D31" s="19">
        <v>2600</v>
      </c>
      <c r="E31" s="29" t="s">
        <v>105</v>
      </c>
      <c r="F31" s="14">
        <v>4</v>
      </c>
      <c r="G31" s="14">
        <v>2</v>
      </c>
      <c r="H31" s="14">
        <v>3</v>
      </c>
      <c r="I31" s="14">
        <v>16</v>
      </c>
      <c r="J31" s="14">
        <v>18</v>
      </c>
      <c r="K31" s="58"/>
      <c r="L31" s="2">
        <f t="shared" si="0"/>
        <v>24.200000000000003</v>
      </c>
    </row>
    <row r="32" spans="1:12" x14ac:dyDescent="0.25">
      <c r="A32" s="89"/>
      <c r="B32" s="19">
        <v>4</v>
      </c>
      <c r="C32" s="20" t="s">
        <v>40</v>
      </c>
      <c r="D32" s="19">
        <v>3092</v>
      </c>
      <c r="E32" s="29" t="s">
        <v>105</v>
      </c>
      <c r="F32" s="14">
        <v>5</v>
      </c>
      <c r="G32" s="14">
        <v>5</v>
      </c>
      <c r="H32" s="14">
        <v>6</v>
      </c>
      <c r="I32" s="14">
        <v>18</v>
      </c>
      <c r="J32" s="14">
        <v>14</v>
      </c>
      <c r="K32" s="58"/>
      <c r="L32" s="2">
        <f t="shared" si="0"/>
        <v>29.5</v>
      </c>
    </row>
    <row r="33" spans="1:12" x14ac:dyDescent="0.25">
      <c r="A33" s="89"/>
      <c r="B33" s="19">
        <v>5</v>
      </c>
      <c r="C33" s="20" t="s">
        <v>41</v>
      </c>
      <c r="D33" s="19">
        <v>3512</v>
      </c>
      <c r="E33" s="29" t="s">
        <v>105</v>
      </c>
      <c r="F33" s="14">
        <v>10</v>
      </c>
      <c r="G33" s="14">
        <v>12</v>
      </c>
      <c r="H33" s="14">
        <v>10</v>
      </c>
      <c r="I33" s="14">
        <v>42</v>
      </c>
      <c r="J33" s="14">
        <v>34</v>
      </c>
      <c r="K33" s="58"/>
      <c r="L33" s="2">
        <f t="shared" si="0"/>
        <v>67.8</v>
      </c>
    </row>
    <row r="34" spans="1:12" x14ac:dyDescent="0.25">
      <c r="A34" s="89"/>
      <c r="B34" s="19">
        <v>6</v>
      </c>
      <c r="C34" s="20" t="s">
        <v>82</v>
      </c>
      <c r="D34" s="19">
        <v>3451</v>
      </c>
      <c r="E34" s="29" t="s">
        <v>105</v>
      </c>
      <c r="F34" s="14">
        <v>7</v>
      </c>
      <c r="G34" s="14">
        <v>3</v>
      </c>
      <c r="H34" s="14">
        <v>3</v>
      </c>
      <c r="I34" s="14">
        <v>22</v>
      </c>
      <c r="J34" s="14">
        <v>30</v>
      </c>
      <c r="K34" s="58"/>
      <c r="L34" s="2">
        <f t="shared" si="0"/>
        <v>35.1</v>
      </c>
    </row>
    <row r="35" spans="1:12" x14ac:dyDescent="0.25">
      <c r="A35" s="90"/>
      <c r="B35" s="22">
        <v>7</v>
      </c>
      <c r="C35" s="23" t="s">
        <v>42</v>
      </c>
      <c r="D35" s="22">
        <v>2979</v>
      </c>
      <c r="E35" s="50" t="s">
        <v>105</v>
      </c>
      <c r="F35" s="24">
        <v>5</v>
      </c>
      <c r="G35" s="24">
        <v>3</v>
      </c>
      <c r="H35" s="24">
        <v>4</v>
      </c>
      <c r="I35" s="24">
        <v>16</v>
      </c>
      <c r="J35" s="24">
        <v>15</v>
      </c>
      <c r="K35" s="58"/>
      <c r="L35" s="2">
        <f t="shared" si="0"/>
        <v>25.3</v>
      </c>
    </row>
    <row r="36" spans="1:12" x14ac:dyDescent="0.25">
      <c r="A36" s="88" t="s">
        <v>71</v>
      </c>
      <c r="B36" s="19">
        <v>2</v>
      </c>
      <c r="C36" s="20" t="s">
        <v>43</v>
      </c>
      <c r="D36" s="19">
        <v>3899</v>
      </c>
      <c r="E36" s="29" t="s">
        <v>105</v>
      </c>
      <c r="F36" s="14">
        <v>8</v>
      </c>
      <c r="G36" s="14">
        <v>11</v>
      </c>
      <c r="H36" s="14">
        <v>8</v>
      </c>
      <c r="I36" s="14">
        <v>34</v>
      </c>
      <c r="J36" s="14">
        <v>28</v>
      </c>
      <c r="K36" s="58"/>
      <c r="L36" s="2">
        <f t="shared" si="0"/>
        <v>56.2</v>
      </c>
    </row>
    <row r="37" spans="1:12" x14ac:dyDescent="0.25">
      <c r="A37" s="89"/>
      <c r="B37" s="19">
        <v>3</v>
      </c>
      <c r="C37" s="20" t="s">
        <v>44</v>
      </c>
      <c r="D37" s="19">
        <v>4713</v>
      </c>
      <c r="E37" s="29" t="s">
        <v>104</v>
      </c>
      <c r="F37" s="14">
        <v>8</v>
      </c>
      <c r="G37" s="14">
        <v>2</v>
      </c>
      <c r="H37" s="14">
        <v>6</v>
      </c>
      <c r="I37" s="14">
        <v>23</v>
      </c>
      <c r="J37" s="14">
        <v>26</v>
      </c>
      <c r="K37" s="58"/>
      <c r="L37" s="2">
        <f t="shared" si="0"/>
        <v>35.4</v>
      </c>
    </row>
    <row r="38" spans="1:12" x14ac:dyDescent="0.25">
      <c r="A38" s="89"/>
      <c r="B38" s="19">
        <v>4</v>
      </c>
      <c r="C38" s="20" t="s">
        <v>45</v>
      </c>
      <c r="D38" s="19">
        <v>4191</v>
      </c>
      <c r="E38" s="29" t="s">
        <v>105</v>
      </c>
      <c r="F38" s="14">
        <v>11</v>
      </c>
      <c r="G38" s="14">
        <v>7</v>
      </c>
      <c r="H38" s="14">
        <v>5</v>
      </c>
      <c r="I38" s="14">
        <v>32</v>
      </c>
      <c r="J38" s="14">
        <v>17</v>
      </c>
      <c r="K38" s="58"/>
      <c r="L38" s="2">
        <f t="shared" si="0"/>
        <v>48.9</v>
      </c>
    </row>
    <row r="39" spans="1:12" x14ac:dyDescent="0.25">
      <c r="A39" s="89"/>
      <c r="B39" s="19">
        <v>5</v>
      </c>
      <c r="C39" s="20" t="s">
        <v>46</v>
      </c>
      <c r="D39" s="19">
        <v>4644</v>
      </c>
      <c r="E39" s="29" t="s">
        <v>105</v>
      </c>
      <c r="F39" s="14">
        <v>9</v>
      </c>
      <c r="G39" s="14">
        <v>1</v>
      </c>
      <c r="H39" s="14">
        <v>6</v>
      </c>
      <c r="I39" s="14">
        <v>19</v>
      </c>
      <c r="J39" s="14">
        <v>43</v>
      </c>
      <c r="K39" s="58"/>
      <c r="L39" s="2">
        <f t="shared" si="0"/>
        <v>34.299999999999997</v>
      </c>
    </row>
    <row r="40" spans="1:12" x14ac:dyDescent="0.25">
      <c r="A40" s="89"/>
      <c r="B40" s="19">
        <v>6</v>
      </c>
      <c r="C40" s="20" t="s">
        <v>47</v>
      </c>
      <c r="D40" s="19">
        <v>4947</v>
      </c>
      <c r="E40" s="29" t="s">
        <v>105</v>
      </c>
      <c r="F40" s="14">
        <v>14</v>
      </c>
      <c r="G40" s="14">
        <v>9</v>
      </c>
      <c r="H40" s="14">
        <v>7</v>
      </c>
      <c r="I40" s="14">
        <v>36</v>
      </c>
      <c r="J40" s="14">
        <v>34</v>
      </c>
      <c r="K40" s="58"/>
      <c r="L40" s="2">
        <f t="shared" si="0"/>
        <v>60.2</v>
      </c>
    </row>
    <row r="41" spans="1:12" x14ac:dyDescent="0.25">
      <c r="A41" s="89"/>
      <c r="B41" s="19">
        <v>7</v>
      </c>
      <c r="C41" s="20" t="s">
        <v>48</v>
      </c>
      <c r="D41" s="19">
        <v>4903</v>
      </c>
      <c r="E41" s="29" t="s">
        <v>103</v>
      </c>
      <c r="F41" s="14">
        <v>10</v>
      </c>
      <c r="G41" s="14">
        <v>9</v>
      </c>
      <c r="H41" s="14">
        <v>17</v>
      </c>
      <c r="I41" s="14">
        <v>5</v>
      </c>
      <c r="J41" s="14">
        <v>5</v>
      </c>
      <c r="K41" s="58"/>
      <c r="L41" s="2">
        <f t="shared" si="0"/>
        <v>23.4</v>
      </c>
    </row>
    <row r="42" spans="1:12" x14ac:dyDescent="0.25">
      <c r="A42" s="89"/>
      <c r="B42" s="19">
        <v>8</v>
      </c>
      <c r="C42" s="20" t="s">
        <v>83</v>
      </c>
      <c r="D42" s="19">
        <v>4123</v>
      </c>
      <c r="E42" s="29" t="s">
        <v>105</v>
      </c>
      <c r="F42" s="14">
        <v>8</v>
      </c>
      <c r="G42" s="14">
        <v>5</v>
      </c>
      <c r="H42" s="14">
        <v>12</v>
      </c>
      <c r="I42" s="14">
        <v>29</v>
      </c>
      <c r="J42" s="14">
        <v>22</v>
      </c>
      <c r="K42" s="58"/>
      <c r="L42" s="2">
        <f t="shared" si="0"/>
        <v>44.8</v>
      </c>
    </row>
    <row r="43" spans="1:12" x14ac:dyDescent="0.25">
      <c r="A43" s="89"/>
      <c r="B43" s="19">
        <v>9</v>
      </c>
      <c r="C43" s="20" t="s">
        <v>84</v>
      </c>
      <c r="D43" s="19">
        <v>5274</v>
      </c>
      <c r="E43" s="29" t="s">
        <v>105</v>
      </c>
      <c r="F43" s="14">
        <v>13</v>
      </c>
      <c r="G43" s="14">
        <v>8</v>
      </c>
      <c r="H43" s="14">
        <v>6</v>
      </c>
      <c r="I43" s="14">
        <v>38</v>
      </c>
      <c r="J43" s="14">
        <v>51</v>
      </c>
      <c r="K43" s="58"/>
      <c r="L43" s="2">
        <f t="shared" si="0"/>
        <v>63.900000000000006</v>
      </c>
    </row>
    <row r="44" spans="1:12" x14ac:dyDescent="0.25">
      <c r="A44" s="90"/>
      <c r="B44" s="22">
        <v>10</v>
      </c>
      <c r="C44" s="23" t="s">
        <v>85</v>
      </c>
      <c r="D44" s="22">
        <v>4240</v>
      </c>
      <c r="E44" s="50" t="s">
        <v>103</v>
      </c>
      <c r="F44" s="24">
        <v>7</v>
      </c>
      <c r="G44" s="24">
        <v>9</v>
      </c>
      <c r="H44" s="24">
        <v>3</v>
      </c>
      <c r="I44" s="24">
        <v>26</v>
      </c>
      <c r="J44" s="24">
        <v>22</v>
      </c>
      <c r="K44" s="58"/>
      <c r="L44" s="2">
        <f t="shared" si="0"/>
        <v>43.5</v>
      </c>
    </row>
    <row r="45" spans="1:12" x14ac:dyDescent="0.25">
      <c r="A45" s="88" t="s">
        <v>72</v>
      </c>
      <c r="B45" s="19">
        <v>2</v>
      </c>
      <c r="C45" s="20" t="s">
        <v>49</v>
      </c>
      <c r="D45" s="19">
        <v>3611</v>
      </c>
      <c r="E45" s="29" t="s">
        <v>103</v>
      </c>
      <c r="F45" s="14">
        <v>6</v>
      </c>
      <c r="G45" s="14">
        <v>5</v>
      </c>
      <c r="H45" s="14">
        <v>4</v>
      </c>
      <c r="I45" s="14">
        <v>22</v>
      </c>
      <c r="J45" s="14">
        <v>11</v>
      </c>
      <c r="K45" s="58"/>
      <c r="L45" s="2">
        <f t="shared" si="0"/>
        <v>33</v>
      </c>
    </row>
    <row r="46" spans="1:12" x14ac:dyDescent="0.25">
      <c r="A46" s="89"/>
      <c r="B46" s="19">
        <v>3</v>
      </c>
      <c r="C46" s="20" t="s">
        <v>50</v>
      </c>
      <c r="D46" s="19">
        <v>4972</v>
      </c>
      <c r="E46" s="29" t="s">
        <v>35</v>
      </c>
      <c r="F46" s="14">
        <v>15</v>
      </c>
      <c r="G46" s="14">
        <v>17</v>
      </c>
      <c r="H46" s="14">
        <v>2</v>
      </c>
      <c r="I46" s="14">
        <v>44</v>
      </c>
      <c r="J46" s="14">
        <v>27</v>
      </c>
      <c r="K46" s="58"/>
      <c r="L46" s="2">
        <f t="shared" si="0"/>
        <v>74.300000000000011</v>
      </c>
    </row>
    <row r="47" spans="1:12" x14ac:dyDescent="0.25">
      <c r="A47" s="89"/>
      <c r="B47" s="19">
        <v>4</v>
      </c>
      <c r="C47" s="20" t="s">
        <v>51</v>
      </c>
      <c r="D47" s="19">
        <v>3825</v>
      </c>
      <c r="E47" s="29" t="s">
        <v>103</v>
      </c>
      <c r="F47" s="14">
        <v>7</v>
      </c>
      <c r="G47" s="14">
        <v>7</v>
      </c>
      <c r="H47" s="14">
        <v>6</v>
      </c>
      <c r="I47" s="14">
        <v>30</v>
      </c>
      <c r="J47" s="14">
        <v>18</v>
      </c>
      <c r="K47" s="58"/>
      <c r="L47" s="2">
        <f t="shared" si="0"/>
        <v>45.300000000000004</v>
      </c>
    </row>
    <row r="48" spans="1:12" x14ac:dyDescent="0.25">
      <c r="A48" s="89"/>
      <c r="B48" s="19">
        <v>5</v>
      </c>
      <c r="C48" s="20" t="s">
        <v>52</v>
      </c>
      <c r="D48" s="19">
        <v>4051</v>
      </c>
      <c r="E48" s="29" t="s">
        <v>35</v>
      </c>
      <c r="F48" s="14">
        <v>16</v>
      </c>
      <c r="G48" s="14">
        <v>30</v>
      </c>
      <c r="H48" s="14">
        <v>3</v>
      </c>
      <c r="I48" s="14">
        <v>65</v>
      </c>
      <c r="J48" s="14">
        <v>28</v>
      </c>
      <c r="K48" s="58"/>
      <c r="L48" s="2">
        <f t="shared" si="0"/>
        <v>109.19999999999999</v>
      </c>
    </row>
    <row r="49" spans="1:12" x14ac:dyDescent="0.25">
      <c r="A49" s="89"/>
      <c r="B49" s="19">
        <v>6</v>
      </c>
      <c r="C49" s="20" t="s">
        <v>53</v>
      </c>
      <c r="D49" s="19">
        <v>3969</v>
      </c>
      <c r="E49" s="29" t="s">
        <v>105</v>
      </c>
      <c r="F49" s="14">
        <v>6</v>
      </c>
      <c r="G49" s="14">
        <v>5</v>
      </c>
      <c r="H49" s="14">
        <v>5</v>
      </c>
      <c r="I49" s="14">
        <v>23</v>
      </c>
      <c r="J49" s="14">
        <v>21</v>
      </c>
      <c r="K49" s="58"/>
      <c r="L49" s="2">
        <f t="shared" si="0"/>
        <v>36.200000000000003</v>
      </c>
    </row>
    <row r="50" spans="1:12" x14ac:dyDescent="0.25">
      <c r="A50" s="89"/>
      <c r="B50" s="19">
        <v>7</v>
      </c>
      <c r="C50" s="20" t="s">
        <v>54</v>
      </c>
      <c r="D50" s="19">
        <v>4202</v>
      </c>
      <c r="E50" s="29" t="s">
        <v>105</v>
      </c>
      <c r="F50" s="14">
        <v>10</v>
      </c>
      <c r="G50" s="14">
        <v>2</v>
      </c>
      <c r="H50" s="14">
        <v>4</v>
      </c>
      <c r="I50" s="14">
        <v>20</v>
      </c>
      <c r="J50" s="14">
        <v>18</v>
      </c>
      <c r="K50" s="58"/>
      <c r="L50" s="2">
        <f t="shared" si="0"/>
        <v>31.400000000000002</v>
      </c>
    </row>
    <row r="51" spans="1:12" x14ac:dyDescent="0.25">
      <c r="A51" s="89"/>
      <c r="B51" s="19">
        <v>8</v>
      </c>
      <c r="C51" s="20" t="s">
        <v>55</v>
      </c>
      <c r="D51" s="19">
        <v>4268</v>
      </c>
      <c r="E51" s="29" t="s">
        <v>103</v>
      </c>
      <c r="F51" s="14">
        <v>8</v>
      </c>
      <c r="G51" s="14">
        <v>18</v>
      </c>
      <c r="H51" s="14">
        <v>13</v>
      </c>
      <c r="I51" s="14">
        <v>53</v>
      </c>
      <c r="J51" s="14">
        <v>27</v>
      </c>
      <c r="K51" s="58"/>
      <c r="L51" s="2">
        <f t="shared" si="0"/>
        <v>83</v>
      </c>
    </row>
    <row r="52" spans="1:12" x14ac:dyDescent="0.25">
      <c r="A52" s="90"/>
      <c r="B52" s="22">
        <v>9</v>
      </c>
      <c r="C52" s="23" t="s">
        <v>56</v>
      </c>
      <c r="D52" s="22">
        <v>3593</v>
      </c>
      <c r="E52" s="50" t="s">
        <v>103</v>
      </c>
      <c r="F52" s="24">
        <v>10</v>
      </c>
      <c r="G52" s="24">
        <v>11</v>
      </c>
      <c r="H52" s="24">
        <v>7</v>
      </c>
      <c r="I52" s="24">
        <v>36</v>
      </c>
      <c r="J52" s="24">
        <v>22</v>
      </c>
      <c r="K52" s="58"/>
      <c r="L52" s="2">
        <f t="shared" si="0"/>
        <v>57.8</v>
      </c>
    </row>
    <row r="53" spans="1:12" x14ac:dyDescent="0.25">
      <c r="A53" s="88" t="s">
        <v>73</v>
      </c>
      <c r="B53" s="19">
        <v>2</v>
      </c>
      <c r="C53" s="20" t="s">
        <v>57</v>
      </c>
      <c r="D53" s="19">
        <v>3701</v>
      </c>
      <c r="E53" s="29" t="s">
        <v>105</v>
      </c>
      <c r="F53" s="14">
        <v>9</v>
      </c>
      <c r="G53" s="14">
        <v>3</v>
      </c>
      <c r="H53" s="14">
        <v>3</v>
      </c>
      <c r="I53" s="14">
        <v>21</v>
      </c>
      <c r="J53" s="14">
        <v>18</v>
      </c>
      <c r="K53" s="58"/>
      <c r="L53" s="2">
        <f t="shared" si="0"/>
        <v>32.700000000000003</v>
      </c>
    </row>
    <row r="54" spans="1:12" x14ac:dyDescent="0.25">
      <c r="A54" s="89"/>
      <c r="B54" s="19">
        <v>3</v>
      </c>
      <c r="C54" s="20" t="s">
        <v>58</v>
      </c>
      <c r="D54" s="19">
        <v>4148</v>
      </c>
      <c r="E54" s="29" t="s">
        <v>105</v>
      </c>
      <c r="F54" s="14">
        <v>7</v>
      </c>
      <c r="G54" s="14">
        <v>3</v>
      </c>
      <c r="H54" s="14">
        <v>4</v>
      </c>
      <c r="I54" s="14">
        <v>19</v>
      </c>
      <c r="J54" s="14">
        <v>25</v>
      </c>
      <c r="K54" s="58"/>
      <c r="L54" s="2">
        <f t="shared" si="0"/>
        <v>31.3</v>
      </c>
    </row>
    <row r="55" spans="1:12" x14ac:dyDescent="0.25">
      <c r="A55" s="89"/>
      <c r="B55" s="19">
        <v>4</v>
      </c>
      <c r="C55" s="20" t="s">
        <v>59</v>
      </c>
      <c r="D55" s="19">
        <v>3357</v>
      </c>
      <c r="E55" s="29" t="s">
        <v>105</v>
      </c>
      <c r="F55" s="14">
        <v>4</v>
      </c>
      <c r="G55" s="14">
        <v>6</v>
      </c>
      <c r="H55" s="14">
        <v>8</v>
      </c>
      <c r="I55" s="14">
        <v>20</v>
      </c>
      <c r="J55" s="14">
        <v>24</v>
      </c>
      <c r="K55" s="58"/>
      <c r="L55" s="2">
        <f t="shared" si="0"/>
        <v>34.400000000000006</v>
      </c>
    </row>
    <row r="56" spans="1:12" x14ac:dyDescent="0.25">
      <c r="A56" s="89"/>
      <c r="B56" s="19">
        <v>5</v>
      </c>
      <c r="C56" s="20" t="s">
        <v>60</v>
      </c>
      <c r="D56" s="19">
        <v>4412</v>
      </c>
      <c r="E56" s="29" t="s">
        <v>105</v>
      </c>
      <c r="F56" s="14">
        <v>7</v>
      </c>
      <c r="G56" s="14">
        <v>2</v>
      </c>
      <c r="H56" s="14">
        <v>4</v>
      </c>
      <c r="I56" s="14">
        <v>13</v>
      </c>
      <c r="J56" s="14">
        <v>27</v>
      </c>
      <c r="K56" s="58"/>
      <c r="L56" s="2">
        <f t="shared" si="0"/>
        <v>24.700000000000003</v>
      </c>
    </row>
    <row r="57" spans="1:12" x14ac:dyDescent="0.25">
      <c r="A57" s="89"/>
      <c r="B57" s="19">
        <v>7</v>
      </c>
      <c r="C57" s="20" t="s">
        <v>61</v>
      </c>
      <c r="D57" s="19">
        <v>3871</v>
      </c>
      <c r="E57" s="29" t="s">
        <v>105</v>
      </c>
      <c r="F57" s="14">
        <v>7</v>
      </c>
      <c r="G57" s="14">
        <v>11</v>
      </c>
      <c r="H57" s="14">
        <v>9</v>
      </c>
      <c r="I57" s="14">
        <v>32</v>
      </c>
      <c r="J57" s="14">
        <v>35</v>
      </c>
      <c r="K57" s="58"/>
      <c r="L57" s="2">
        <f t="shared" si="0"/>
        <v>55.3</v>
      </c>
    </row>
    <row r="58" spans="1:12" x14ac:dyDescent="0.25">
      <c r="A58" s="89"/>
      <c r="B58" s="19">
        <v>8</v>
      </c>
      <c r="C58" s="20" t="s">
        <v>62</v>
      </c>
      <c r="D58" s="19">
        <v>4292</v>
      </c>
      <c r="E58" s="29" t="s">
        <v>105</v>
      </c>
      <c r="F58" s="14">
        <v>8</v>
      </c>
      <c r="G58" s="14">
        <v>19</v>
      </c>
      <c r="H58" s="14">
        <v>5</v>
      </c>
      <c r="I58" s="14">
        <v>45</v>
      </c>
      <c r="J58" s="14">
        <v>38</v>
      </c>
      <c r="K58" s="58"/>
      <c r="L58" s="2">
        <f t="shared" si="0"/>
        <v>76.599999999999994</v>
      </c>
    </row>
    <row r="59" spans="1:12" x14ac:dyDescent="0.25">
      <c r="A59" s="90"/>
      <c r="B59" s="22">
        <v>9</v>
      </c>
      <c r="C59" s="23" t="s">
        <v>63</v>
      </c>
      <c r="D59" s="22">
        <v>3593</v>
      </c>
      <c r="E59" s="50" t="s">
        <v>105</v>
      </c>
      <c r="F59" s="24">
        <v>6</v>
      </c>
      <c r="G59" s="24">
        <v>6</v>
      </c>
      <c r="H59" s="24">
        <v>7</v>
      </c>
      <c r="I59" s="24">
        <v>28</v>
      </c>
      <c r="J59" s="24">
        <v>22</v>
      </c>
      <c r="K59" s="58"/>
      <c r="L59" s="2">
        <f t="shared" si="0"/>
        <v>42.8</v>
      </c>
    </row>
    <row r="60" spans="1:12" x14ac:dyDescent="0.25">
      <c r="A60" s="88" t="s">
        <v>74</v>
      </c>
      <c r="B60" s="19">
        <v>2</v>
      </c>
      <c r="C60" s="20" t="s">
        <v>75</v>
      </c>
      <c r="D60" s="19">
        <v>3966</v>
      </c>
      <c r="E60" s="29" t="s">
        <v>105</v>
      </c>
      <c r="F60" s="14">
        <v>8</v>
      </c>
      <c r="G60" s="14">
        <v>12</v>
      </c>
      <c r="H60" s="14">
        <v>10</v>
      </c>
      <c r="I60" s="14">
        <v>40</v>
      </c>
      <c r="J60" s="14">
        <v>17</v>
      </c>
      <c r="K60" s="58"/>
      <c r="L60" s="2">
        <f t="shared" si="0"/>
        <v>61.4</v>
      </c>
    </row>
    <row r="61" spans="1:12" x14ac:dyDescent="0.25">
      <c r="A61" s="89"/>
      <c r="B61" s="19">
        <v>4</v>
      </c>
      <c r="C61" s="20" t="s">
        <v>76</v>
      </c>
      <c r="D61" s="19">
        <v>3568</v>
      </c>
      <c r="E61" s="29" t="s">
        <v>103</v>
      </c>
      <c r="F61" s="14">
        <v>8</v>
      </c>
      <c r="G61" s="14">
        <v>2</v>
      </c>
      <c r="H61" s="14">
        <v>5</v>
      </c>
      <c r="I61" s="14">
        <v>29</v>
      </c>
      <c r="J61" s="14">
        <v>16</v>
      </c>
      <c r="K61" s="58"/>
      <c r="L61" s="2">
        <f t="shared" si="0"/>
        <v>39.200000000000003</v>
      </c>
    </row>
    <row r="62" spans="1:12" x14ac:dyDescent="0.25">
      <c r="A62" s="89"/>
      <c r="B62" s="19">
        <v>7</v>
      </c>
      <c r="C62" s="20" t="s">
        <v>77</v>
      </c>
      <c r="D62" s="19">
        <v>5012</v>
      </c>
      <c r="E62" s="29" t="s">
        <v>16</v>
      </c>
      <c r="F62" s="14">
        <v>17</v>
      </c>
      <c r="G62" s="14">
        <v>6</v>
      </c>
      <c r="H62" s="14">
        <v>4</v>
      </c>
      <c r="I62" s="14">
        <v>44</v>
      </c>
      <c r="J62" s="14">
        <v>31</v>
      </c>
      <c r="K62" s="58"/>
      <c r="L62" s="2">
        <f t="shared" si="0"/>
        <v>65.5</v>
      </c>
    </row>
    <row r="63" spans="1:12" x14ac:dyDescent="0.25">
      <c r="A63" s="89"/>
      <c r="B63" s="19">
        <v>9</v>
      </c>
      <c r="C63" s="20" t="s">
        <v>78</v>
      </c>
      <c r="D63" s="19">
        <v>4133</v>
      </c>
      <c r="E63" s="29" t="s">
        <v>103</v>
      </c>
      <c r="F63" s="14">
        <v>8</v>
      </c>
      <c r="G63" s="14">
        <v>17</v>
      </c>
      <c r="H63" s="14">
        <v>6</v>
      </c>
      <c r="I63" s="14">
        <v>49</v>
      </c>
      <c r="J63" s="14">
        <v>13</v>
      </c>
      <c r="K63" s="58"/>
      <c r="L63" s="2">
        <f t="shared" si="0"/>
        <v>73.8</v>
      </c>
    </row>
    <row r="64" spans="1:12" x14ac:dyDescent="0.25">
      <c r="A64" s="89"/>
      <c r="B64" s="19">
        <v>10</v>
      </c>
      <c r="C64" s="20" t="s">
        <v>79</v>
      </c>
      <c r="D64" s="19">
        <v>3345</v>
      </c>
      <c r="E64" s="29" t="s">
        <v>16</v>
      </c>
      <c r="F64" s="14">
        <v>6</v>
      </c>
      <c r="G64" s="14">
        <v>19</v>
      </c>
      <c r="H64" s="14">
        <v>7</v>
      </c>
      <c r="I64" s="14">
        <v>51</v>
      </c>
      <c r="J64" s="14">
        <v>15</v>
      </c>
      <c r="K64" s="58"/>
      <c r="L64" s="2">
        <f t="shared" si="0"/>
        <v>77.400000000000006</v>
      </c>
    </row>
    <row r="65" spans="1:12" x14ac:dyDescent="0.25">
      <c r="A65" s="89"/>
      <c r="B65" s="19">
        <v>11</v>
      </c>
      <c r="C65" s="20" t="s">
        <v>80</v>
      </c>
      <c r="D65" s="19">
        <v>3490</v>
      </c>
      <c r="E65" s="29" t="s">
        <v>103</v>
      </c>
      <c r="F65" s="14">
        <v>6</v>
      </c>
      <c r="G65" s="14">
        <v>3</v>
      </c>
      <c r="H65" s="14">
        <v>2</v>
      </c>
      <c r="I65" s="14">
        <v>26</v>
      </c>
      <c r="J65" s="14">
        <v>14</v>
      </c>
      <c r="K65" s="58"/>
      <c r="L65" s="2">
        <f t="shared" si="0"/>
        <v>35.199999999999996</v>
      </c>
    </row>
    <row r="66" spans="1:12" x14ac:dyDescent="0.25">
      <c r="A66" s="90"/>
      <c r="B66" s="22">
        <v>12</v>
      </c>
      <c r="C66" s="23" t="s">
        <v>81</v>
      </c>
      <c r="D66" s="22">
        <v>3376</v>
      </c>
      <c r="E66" s="50" t="s">
        <v>105</v>
      </c>
      <c r="F66" s="24">
        <v>6</v>
      </c>
      <c r="G66" s="24">
        <v>3</v>
      </c>
      <c r="H66" s="24">
        <v>5</v>
      </c>
      <c r="I66" s="24">
        <v>16</v>
      </c>
      <c r="J66" s="24">
        <v>21</v>
      </c>
      <c r="K66" s="58"/>
      <c r="L66" s="2">
        <f t="shared" si="0"/>
        <v>27.2</v>
      </c>
    </row>
    <row r="67" spans="1:12" x14ac:dyDescent="0.25">
      <c r="A67" s="65"/>
      <c r="B67" s="61"/>
      <c r="C67" s="62"/>
      <c r="D67" s="63"/>
      <c r="E67" s="64"/>
      <c r="F67" s="62"/>
      <c r="G67" s="66"/>
      <c r="H67" s="67"/>
      <c r="I67" s="68"/>
      <c r="J67" s="56" t="s">
        <v>112</v>
      </c>
      <c r="K67" s="59"/>
      <c r="L67" s="2">
        <f>MIN(L2:L66)</f>
        <v>19.399999999999999</v>
      </c>
    </row>
    <row r="68" spans="1:12" x14ac:dyDescent="0.25">
      <c r="I68" s="60"/>
      <c r="J68" s="71" t="s">
        <v>113</v>
      </c>
      <c r="K68" s="69"/>
      <c r="L68" s="2">
        <f>MAX(L2:L67)</f>
        <v>114.7</v>
      </c>
    </row>
    <row r="69" spans="1:12" x14ac:dyDescent="0.25">
      <c r="I69" s="60"/>
      <c r="J69" s="71" t="s">
        <v>114</v>
      </c>
      <c r="K69" s="69"/>
      <c r="L69" s="2">
        <f>AVERAGE(L2:L66)</f>
        <v>47.975384615384627</v>
      </c>
    </row>
    <row r="70" spans="1:12" x14ac:dyDescent="0.25">
      <c r="J70" s="71" t="s">
        <v>115</v>
      </c>
      <c r="K70" s="69"/>
      <c r="L70" s="2">
        <f>MEDIAN(L2:L66)</f>
        <v>42.8</v>
      </c>
    </row>
  </sheetData>
  <mergeCells count="10">
    <mergeCell ref="A36:A44"/>
    <mergeCell ref="A45:A52"/>
    <mergeCell ref="A53:A59"/>
    <mergeCell ref="A60:A66"/>
    <mergeCell ref="A2:A6"/>
    <mergeCell ref="A7:A10"/>
    <mergeCell ref="A11:A18"/>
    <mergeCell ref="A19:A23"/>
    <mergeCell ref="A24:A29"/>
    <mergeCell ref="A30:A3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Q2</vt:lpstr>
      <vt:lpstr>Q1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Heiko Koziolek</cp:lastModifiedBy>
  <cp:lastPrinted>2025-09-27T09:13:57Z</cp:lastPrinted>
  <dcterms:created xsi:type="dcterms:W3CDTF">2025-09-10T15:48:18Z</dcterms:created>
  <dcterms:modified xsi:type="dcterms:W3CDTF">2025-09-29T05:19:01Z</dcterms:modified>
</cp:coreProperties>
</file>