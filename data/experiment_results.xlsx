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data\Spec2Control\data\"/>
    </mc:Choice>
  </mc:AlternateContent>
  <xr:revisionPtr revIDLastSave="0" documentId="13_ncr:1_{B97C2583-F89E-44C1-9331-487E82A6B774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Q1" sheetId="3" r:id="rId1"/>
    <sheet name="Q2" sheetId="1" r:id="rId2"/>
    <sheet name="Q2_Detailed_Result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4" l="1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9" i="4"/>
  <c r="Z50" i="4"/>
  <c r="Z51" i="4"/>
  <c r="Z53" i="4"/>
  <c r="Z54" i="4"/>
  <c r="Z55" i="4"/>
  <c r="Z56" i="4"/>
  <c r="Z57" i="4"/>
  <c r="Z58" i="4"/>
  <c r="Z59" i="4"/>
  <c r="Z60" i="4"/>
  <c r="Z62" i="4"/>
  <c r="Z63" i="4"/>
  <c r="Z64" i="4"/>
  <c r="Z65" i="4"/>
  <c r="I67" i="4"/>
  <c r="M67" i="4"/>
  <c r="O67" i="4" s="1"/>
  <c r="N67" i="4"/>
  <c r="W67" i="4"/>
  <c r="X67" i="4"/>
  <c r="L70" i="3"/>
  <c r="L69" i="3"/>
  <c r="L68" i="3"/>
  <c r="L67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2" i="3"/>
  <c r="Z67" i="4" l="1"/>
</calcChain>
</file>

<file path=xl/sharedStrings.xml><?xml version="1.0" encoding="utf-8"?>
<sst xmlns="http://schemas.openxmlformats.org/spreadsheetml/2006/main" count="1104" uniqueCount="261">
  <si>
    <t>Title</t>
  </si>
  <si>
    <t>Chapter Characters</t>
  </si>
  <si>
    <t>Control Strategy</t>
  </si>
  <si>
    <t>Function Blocks</t>
  </si>
  <si>
    <t>Functions</t>
  </si>
  <si>
    <t>Variables</t>
  </si>
  <si>
    <t>Data Connections</t>
  </si>
  <si>
    <t>Parameter Data Connections</t>
  </si>
  <si>
    <t>Neutralization Reactor</t>
  </si>
  <si>
    <t>Evaporation and Conditioning</t>
  </si>
  <si>
    <t>Prilling Tower/Granulator</t>
  </si>
  <si>
    <t>Cooling and Coating Circuit</t>
  </si>
  <si>
    <t>Storage and Load-Out</t>
  </si>
  <si>
    <t>Distillation Column (T-101)</t>
  </si>
  <si>
    <t>Reboiler Heat Exchanger (E-106)</t>
  </si>
  <si>
    <t>Overhead Condenser and Accumulator (E-104 and V-104)</t>
  </si>
  <si>
    <t>Duty-Standby</t>
  </si>
  <si>
    <t>Bottoms Product Handling</t>
  </si>
  <si>
    <t>Atmospheric Distillation Unit (ADU)</t>
  </si>
  <si>
    <t>Vacuum Distillation Unit (VDU)</t>
  </si>
  <si>
    <t>Fluid Catalytic Cracking (FCC) Unit</t>
  </si>
  <si>
    <t>Delayed Coking Unit</t>
  </si>
  <si>
    <t>Hydrotreating Units</t>
  </si>
  <si>
    <t>Petroleum Coke Handling System</t>
  </si>
  <si>
    <t>Utilities and Offsites</t>
  </si>
  <si>
    <t>Flare and Relief Systems</t>
  </si>
  <si>
    <t>Seawater and Reservoir Intake Pipelines</t>
  </si>
  <si>
    <t>Intake Screens and Air-Blast Cleaning System</t>
  </si>
  <si>
    <t>Intake Pumps and Sump Pumps</t>
  </si>
  <si>
    <t>Shock Chlorination System</t>
  </si>
  <si>
    <t>Sampling and Bypass Flow Systems</t>
  </si>
  <si>
    <t>Feed-Gas Reception and Pretreatment</t>
  </si>
  <si>
    <t>Acid Gas Removal (Amine Absorber System)</t>
  </si>
  <si>
    <t>Molecular-Sieve Dehydration and Mercury Removal</t>
  </si>
  <si>
    <t>Heavy-Hydrocarbon and NGL Recovery</t>
  </si>
  <si>
    <t>VOTING</t>
  </si>
  <si>
    <t>Liquefaction and Refrigerant System</t>
  </si>
  <si>
    <t>LNG Storage and Ship-Loading</t>
  </si>
  <si>
    <t>2-Phase Separator Control</t>
  </si>
  <si>
    <t>3-Phase Separator Control</t>
  </si>
  <si>
    <t>Oil Tank Control</t>
  </si>
  <si>
    <t>Water Tank and Pump Control</t>
  </si>
  <si>
    <t>Air Compressor Control</t>
  </si>
  <si>
    <t>Wood Handling and Chipping</t>
  </si>
  <si>
    <t>Continuous Digester</t>
  </si>
  <si>
    <t>Washing and Screening</t>
  </si>
  <si>
    <t>Bleaching Towers</t>
  </si>
  <si>
    <t>Refining and Machine Chest</t>
  </si>
  <si>
    <t>Approach Flow and Forming</t>
  </si>
  <si>
    <t>Sinter Plant</t>
  </si>
  <si>
    <t>Coking Facility</t>
  </si>
  <si>
    <t>Blast Furnace</t>
  </si>
  <si>
    <t>Basic Oxygen Furnace (BOF)</t>
  </si>
  <si>
    <t>Secondary Metallurgy</t>
  </si>
  <si>
    <t>Continuous Casting</t>
  </si>
  <si>
    <t>Rolling Mills</t>
  </si>
  <si>
    <t>By-Product Recovery Systems</t>
  </si>
  <si>
    <t>Feed System</t>
  </si>
  <si>
    <t>Column 1 and Reboiler</t>
  </si>
  <si>
    <t>Decanter 1</t>
  </si>
  <si>
    <t>Column 2 and Reboiler</t>
  </si>
  <si>
    <t>Column 3 and Reboiler</t>
  </si>
  <si>
    <t>Decanter 2</t>
  </si>
  <si>
    <t>Condenser Systems</t>
  </si>
  <si>
    <t>Ammonium Nitrates Production</t>
  </si>
  <si>
    <t>Benzene Distillation Column</t>
  </si>
  <si>
    <t>Coking Refinery</t>
  </si>
  <si>
    <t>Desalination Plant Intake System</t>
  </si>
  <si>
    <t>Control Narrative Section</t>
  </si>
  <si>
    <t>LNG (Liquified Natural Gas) Production Train</t>
  </si>
  <si>
    <t>Multi-Phase Separation and Storage System</t>
  </si>
  <si>
    <t>Chemical Pulping and Paper Production</t>
  </si>
  <si>
    <t>Integrated Steel Plant Process</t>
  </si>
  <si>
    <t>Multi-Column Chemical Distillation System</t>
  </si>
  <si>
    <t>Waste Water Treatment Plant</t>
  </si>
  <si>
    <t>Influent &amp; Headworks</t>
  </si>
  <si>
    <t>Primary Treatment</t>
  </si>
  <si>
    <t>Secondary Clarification</t>
  </si>
  <si>
    <t>Disinfection</t>
  </si>
  <si>
    <t>Influent Lift Station</t>
  </si>
  <si>
    <t>Utilities, Chemicals &amp; Controls</t>
  </si>
  <si>
    <t>Sludge/Biosolids Management</t>
  </si>
  <si>
    <t>Water Coalescer Control</t>
  </si>
  <si>
    <t>Press Section</t>
  </si>
  <si>
    <t>Dryer Section</t>
  </si>
  <si>
    <t>Finishing and Winding</t>
  </si>
  <si>
    <t>Q2M4 - GPT-5 - Alarms found vs. Required</t>
  </si>
  <si>
    <t>7/7</t>
  </si>
  <si>
    <t>4/4</t>
  </si>
  <si>
    <t>2/2</t>
  </si>
  <si>
    <t>3/3</t>
  </si>
  <si>
    <t>1/1</t>
  </si>
  <si>
    <t>9/9</t>
  </si>
  <si>
    <t>0/0</t>
  </si>
  <si>
    <t>2/3</t>
  </si>
  <si>
    <t>5/5</t>
  </si>
  <si>
    <t>1/2</t>
  </si>
  <si>
    <t>2/4</t>
  </si>
  <si>
    <t>Q2M4 - GPT-5 - Alarms (%)</t>
  </si>
  <si>
    <t>Q2M3 - GPT-5 - Connections found vs. required</t>
  </si>
  <si>
    <t>Q2M3 - GPT-5 - Connections (%)</t>
  </si>
  <si>
    <t>3/4</t>
  </si>
  <si>
    <t>Q2M2 - GPT-5 - Block Mapping</t>
  </si>
  <si>
    <t xml:space="preserve">Ratio </t>
  </si>
  <si>
    <t xml:space="preserve">Cascade </t>
  </si>
  <si>
    <t xml:space="preserve">PID </t>
  </si>
  <si>
    <t xml:space="preserve">Q2M1 - GPT-5 - Control Strategy </t>
  </si>
  <si>
    <t>Production Plant</t>
  </si>
  <si>
    <t>Total:</t>
  </si>
  <si>
    <t>168/
173</t>
  </si>
  <si>
    <t>Factor</t>
  </si>
  <si>
    <t>Q1M2: Estimated Rework Time (min)</t>
  </si>
  <si>
    <t>Min</t>
  </si>
  <si>
    <t>Max</t>
  </si>
  <si>
    <t>Avg</t>
  </si>
  <si>
    <t>Median</t>
  </si>
  <si>
    <t>204/
207</t>
  </si>
  <si>
    <t>168/173</t>
  </si>
  <si>
    <t>156/177</t>
  </si>
  <si>
    <t>204/207</t>
  </si>
  <si>
    <t>195/213</t>
  </si>
  <si>
    <t>93.6%</t>
  </si>
  <si>
    <t>97.1%</t>
  </si>
  <si>
    <t>AVERAGE</t>
  </si>
  <si>
    <t>*Manually corrected: Bypassing slavePID when no PID object exists in control narrative is valid.</t>
  </si>
  <si>
    <t>1/4</t>
  </si>
  <si>
    <t>ANALOG_IN(1), MOTOR_ON_OFF(1), MOTOR_VSD(2), RATIO_CONTROL(2), VALVE_ELECTRIC(1)</t>
  </si>
  <si>
    <t>Ratio Control</t>
  </si>
  <si>
    <t>waste_water_treatment_facility</t>
  </si>
  <si>
    <t xml:space="preserve">*missed two alarms due to ambiguity in control narrative. Component LS-601 is defined as a switch, but describes with the functionality off an analog transmitter.  </t>
  </si>
  <si>
    <t>8/8</t>
  </si>
  <si>
    <t>ANALOG_IN(2), DUTY_STANDBY(2), MOTOR_ON_OFF(4), VALVE_ELECTRIC(2)</t>
  </si>
  <si>
    <t>ANALOG_IN(4), PID_BASIC(1), RATIO_CONTROL(1), VALVE_ELECTRIC(1)</t>
  </si>
  <si>
    <t xml:space="preserve">*Manually corrected due to ambiguous control narrative: VG-101 is described in the tag list as a measuring component, but is later described with an on/off functionality. Hence, instructions are not clear enough to  determine if it should be a transmitter or a motor. </t>
  </si>
  <si>
    <t>ANALOG_IN(3), MOTOR_VSD(2), PID_BASIC(1)</t>
  </si>
  <si>
    <t>ANALOG_IN(2), MOTOR_ON_OFF(1), MOTOR_VSD(2), PID_BASIC(1)</t>
  </si>
  <si>
    <t>PID Control</t>
  </si>
  <si>
    <t>ANALOG_IN(2), PID_BASIC(1), VALVE_ELECTRIC(1)</t>
  </si>
  <si>
    <t>*Manually corrected: pump speed is secondary_PV.</t>
  </si>
  <si>
    <t>ANALOG_IN(1), MOTOR_VSD(1), PID_BASIC(1), RATIO_CONTROL(1), VALVE_ELECTRIC(1)</t>
  </si>
  <si>
    <t>ANALOG_IN(2), DUTY_STANDBY(1), MOTOR_ON_OFF(2)</t>
  </si>
  <si>
    <t>tennessee-eastman-chemical</t>
  </si>
  <si>
    <t>ANALOG_IN(4), PID_BASIC(2), VALVE_ELECTRIC(2)</t>
  </si>
  <si>
    <t>ANALOG_IN(2), PID_BASIC(3), VALVE_ELECTRIC(2)</t>
  </si>
  <si>
    <t>ANALOG_IN(2), PID_BASIC(2), VALVE_ELECTRIC(2)</t>
  </si>
  <si>
    <t xml:space="preserve">*Manually corrected due to ambiguous control narrative: Test output defined FC-004 as a transmitter in stead of a controller (as defined in the tag list). However, in the description, FC-004 is only described as a monitoring component, so generating it as a transmitter yields correct functionality. </t>
  </si>
  <si>
    <t>ANALOG_IN(3), PID_BASIC(2), VALVE_ELECTRIC(2)</t>
  </si>
  <si>
    <t>ANALOG_IN(2), PID_BASIC(3), VALVE_ELECTRIC(1)</t>
  </si>
  <si>
    <t>ANALOG_IN(7), PID_BASIC(1), RATIO_CONTROL(1), VALVE_ELECTRIC(1)</t>
  </si>
  <si>
    <t>steel-plant</t>
  </si>
  <si>
    <t xml:space="preserve">*Manually corrected due to ambiguous control narrative: FLT-701 is described in the tag list as a transmitter, but is described as an alarm. Hence, implementing it as an alarm object (DI) yields the correct functionality. </t>
  </si>
  <si>
    <t>ANALOG_IN(3), PID_BASIC(1), RATIO_CONTROL(1), VALVE_ELECTRIC(1)</t>
  </si>
  <si>
    <t xml:space="preserve">*wrong parameter value chosen. We have not given the LLM a tool/functionality to distinguish between "startup" conditions/permissives and conditions/permissives during normal run. </t>
  </si>
  <si>
    <t>ANALOG_IN(3), PID_BASIC(1), VALVE_ELECTRIC(1)</t>
  </si>
  <si>
    <t xml:space="preserve">*manually corrected: "Missed" alarm pins are there, LLM output named components differently than baseline since no tagname was specified in the control narrative. </t>
  </si>
  <si>
    <t xml:space="preserve">*Remove one required connection since control narrative fails to mention required PID object. </t>
  </si>
  <si>
    <t>4/5</t>
  </si>
  <si>
    <t xml:space="preserve">*Manually corrected due to incomplete control narrative; The control narrative misses a PID to complete the typical structure of a voting control strategy, this PID is generated in the baseline, but not in the test. LLM test output have correctly identified all objects explicitly defined with a tag in the section. </t>
  </si>
  <si>
    <t>ANALOG_IN(7), VALVE_ELECTRIC(1), VOTING_ANALOG(1)</t>
  </si>
  <si>
    <t>ANALOG_IN(8), PID_BASIC(1), VALVE_ELECTRIC(1), VOTING_ANALOG(2)</t>
  </si>
  <si>
    <t>*Manually corrected: Control narrative misses a transmitter for the secondary_PV. LLM makes variable as input in stead. (Can argue that the transmitter may stem from another section in the control narrative, and then a variable is a valid placeholder?)</t>
  </si>
  <si>
    <t xml:space="preserve">*Manually corrected: Baseline contains generated tag. LLM test output have correctly identified all objects explicitly defined with a tag in the section. </t>
  </si>
  <si>
    <t xml:space="preserve">*Manual correction: PID block missing from control narrative, accept solution to send voting signal to real variable from control narrative. </t>
  </si>
  <si>
    <t>ANALOG_IN(6), MOTOR_ON_OFF(1), VOTING_ANALOG(2)</t>
  </si>
  <si>
    <t>3/5</t>
  </si>
  <si>
    <t xml:space="preserve">*Manually corrected due to wrong baseline. F-801 should be MOTOR_VSD not MOTOR_ON_OFF. </t>
  </si>
  <si>
    <t>ANALOG_IN(5), MOTOR_VSD(2), PID_BASIC(4), VALVE_ELECTRIC(2)</t>
  </si>
  <si>
    <t>ANALOG_IN(5), MOTOR_ON_OFF(1), MOTOR_VSD(1), PID_BASIC(4), VALVE_ELECTRIC(2)</t>
  </si>
  <si>
    <t>paper-machine</t>
  </si>
  <si>
    <t>ANALOG_IN(4), MOTOR_ON_OFF(1), PID_BASIC(1), RATIO_CONTROL(1), VALVE_ELECTRIC(1)</t>
  </si>
  <si>
    <t>ANALOG_IN(5), MOTOR_ON_OFF(1), PID_BASIC(2), VALVE_ELECTRIC(2)</t>
  </si>
  <si>
    <t xml:space="preserve">*Manual correction: 3rd electronic valve doesn't exist in control narrative, so remove one required connection. </t>
  </si>
  <si>
    <t>5/6</t>
  </si>
  <si>
    <t xml:space="preserve">*Manually corrected due to ambiguous control narrative; object XV-104 is defined as an on/off valve in the control narrative, but set to electric valve in the baseline. </t>
  </si>
  <si>
    <t>ANALOG_IN(7), PID_BASIC(3), VALVE_ELECTRIC(2)</t>
  </si>
  <si>
    <t>ANALOG_IN(3), PID_BASIC(3), VALVE_ELECTRIC(3)</t>
  </si>
  <si>
    <t xml:space="preserve">*manually corrected: Wrong high alarm value on transmitter TT-103 found, but the correct value is moved to corresponding PID, TIC-104. High alarm pin on transmitter is used for interlock logic. This solution yields correct functionality. </t>
  </si>
  <si>
    <t xml:space="preserve">*Second PID gets PV as feedback form the valve it's controlling, not correct functionality. </t>
  </si>
  <si>
    <t>ANALOG_IN(2), PID_BASIC(4), VALVE_ELECTRIC(2)</t>
  </si>
  <si>
    <t>Cascade Control</t>
  </si>
  <si>
    <t>*Missed control valve LV-103</t>
  </si>
  <si>
    <t>ANALOG_IN(1), MOTOR_VSD(1), PID_BASIC(1), VALVE_ELECTRIC(1)</t>
  </si>
  <si>
    <t>ANALOG_IN(1), MOTOR_VSD(1), PID_BASIC(1), VALVE_ELECTRIC(2)</t>
  </si>
  <si>
    <t>ANALOG_IN(1), PID_BASIC(1), VALVE_ELECTRIC(1)</t>
  </si>
  <si>
    <t>multi-phase-flow-facility</t>
  </si>
  <si>
    <t>ANALOG_IN(2), MOTOR_ON_OFF(1), PID_BASIC(2), VALVE_ELECTRIC(2)</t>
  </si>
  <si>
    <t>ANALOG_IN(3), MOTOR_VSD(1), PID_BASIC(2), VALVE_ELECTRIC(1)</t>
  </si>
  <si>
    <t>ANALOG_IN(4), PID_BASIC(2), RATIO_CONTROL(1), VALVE_ELECTRIC(2)</t>
  </si>
  <si>
    <t>lng-production</t>
  </si>
  <si>
    <t>ANALOG_IN(4), PID_BASIC(1), RATIO_CONTROL(1), VALVE_ELECTRIC(2)</t>
  </si>
  <si>
    <t xml:space="preserve">*manually corrected: Alarms are set on the PID receiving a signal from three transmitters, in stead of on the three individual transmitters. This solution yields correct functionality. </t>
  </si>
  <si>
    <t>0/6</t>
  </si>
  <si>
    <t xml:space="preserve">*Manually corrected: Voting scheme "2oo3" chosen in stead of "Median". PIDs made up by LLM in both cases. None mentioned in control narrative. </t>
  </si>
  <si>
    <t xml:space="preserve">*Manually corrected due to incomplete control narrative; The control narrative misses two PIDs to complete the typical structure of a voting control strategy, these objects are generated in the baseline, but not in the test. LLM test output have correctly identified all objects explicitly defined with a tag in the section. </t>
  </si>
  <si>
    <t>ANALOG_IN(11), PID_BASIC(1), VALVE_ELECTRIC(2), VOTING_ANALOG(2)</t>
  </si>
  <si>
    <t>ANALOG_IN(6), PID_BASIC(2), VALVE_ELECTRIC(2), VOTING_ANALOG(2)</t>
  </si>
  <si>
    <t>*found wrong parameter value, unknown why (hallucination?).</t>
  </si>
  <si>
    <t>ANALOG_IN(5), PID_BASIC(1), RATIO_CONTROL(1), VALVE_ELECTRIC(1)</t>
  </si>
  <si>
    <t>ANALOG_IN(4), PID_BASIC(1), VALVE_ELECTRIC(1)</t>
  </si>
  <si>
    <t>ANALOG_IN(5), RATIO_CONTROL(1), VALVE_ELECTRIC(1)</t>
  </si>
  <si>
    <t xml:space="preserve">*Manually corrected: Bypassing slavePID when no PID object exists in control narrative is valid. Control narrative misses a second transmitter for ratio control, creates variable in stead.   </t>
  </si>
  <si>
    <t xml:space="preserve">*Manually corrected due to incomplete control narrative; The control narrative misses a sensor and a PID to complete the typical structure of a ratio control strategy, these  objects are generated in the baseline, but not in the test. LLM test output have correctly identified all objects explicitly defined with a tag in the section. </t>
  </si>
  <si>
    <t>ANALOG_IN(1), RATIO_CONTROL(1), VALVE_ELECTRIC(2)</t>
  </si>
  <si>
    <t>ANALOG_IN(2), PID_BASIC(1), RATIO_CONTROL(1), VALVE_ELECTRIC(1)</t>
  </si>
  <si>
    <t>desalination</t>
  </si>
  <si>
    <t>ANALOG_IN(2), MOTOR_VSD(2), PID_BASIC(1), VALVE_ELECTRIC(1)</t>
  </si>
  <si>
    <t xml:space="preserve">*manually corrected: Two sets of low/high alarm values are given in the control narrative. The ANALOG_IN function block from the BASIC_LIB only has one set of alarm pins, hence the LLM has two choose one set. The most conservative values were chosen, hence this solution is deemed valid. </t>
  </si>
  <si>
    <t>0/2</t>
  </si>
  <si>
    <t>ANALOG_IN(2), MOTOR_ON_OFF(2), MOTOR_VSD(4), PID_BASIC(1)</t>
  </si>
  <si>
    <t>ANALOG_IN(6), PID_BASIC(2), VALVE_ELECTRIC(2)</t>
  </si>
  <si>
    <t>coking-refinery</t>
  </si>
  <si>
    <t>ANALOG_IN(3), PID_BASIC(2), RATIO_CONTROL(1), VALVE_ELECTRIC(2)</t>
  </si>
  <si>
    <t>*Manually corrected: Eval script required connection from pid to a transmitter that doesn't exist in the control narrative.</t>
  </si>
  <si>
    <t>ANALOG_IN(4), PID_BASIC(3), VALVE_ELECTRIC(2)</t>
  </si>
  <si>
    <t xml:space="preserve">*manually corrected: Wrong high alarm value on transmitter TIT-101 found, but the correct value is moved to corresponding PID, TC-401. High alarm pin on transmitter is used for interlock logic. This solution yields correct functionality. </t>
  </si>
  <si>
    <t>ANALOG_IN(4), MOTOR_ON_OFF(2), PID_BASIC(2), VALVE_ELECTRIC(1)</t>
  </si>
  <si>
    <t>ANALOG_IN(3), PID_BASIC(2), VALVE_ELECTRIC(1)</t>
  </si>
  <si>
    <t xml:space="preserve">*manually corrected: Wrong high alarm value on transmitter PT-301 found, but the correct value is moved to corresponding PID, PC-301. High alarm pin on transmitter is used for trip logic. This solution yields correct functionality. </t>
  </si>
  <si>
    <t xml:space="preserve">*Manually corrected due to ambiguous control narrative; object PTF-301 is defined as a transmitter in the tag list, but described as alarm, hence implementing it as an alarm (DIGITAL_IN) yields correct functionality. </t>
  </si>
  <si>
    <t>ANALOG_IN(4), MOTOR_ON_OFF(1), PID_BASIC(1), VALVE_ELECTRIC(1)</t>
  </si>
  <si>
    <t>ANALOG_IN(5), MOTOR_ON_OFF(1), PID_BASIC(1), VALVE_ELECTRIC(1)</t>
  </si>
  <si>
    <t>ANALOG_IN(6), PID_BASIC(2), RATIO_CONTROL(1), VALVE_ELECTRIC(1)</t>
  </si>
  <si>
    <t>ANALOG_IN(6), PID_BASIC(1), RATIO_CONTROL(1), VALVE_ELECTRIC(1)</t>
  </si>
  <si>
    <t>ANALOG_IN(2), PID_BASIC(2), RATIO_CONTROL(1), VALVE_ELECTRIC(1)</t>
  </si>
  <si>
    <t>benzene-distillation</t>
  </si>
  <si>
    <t>ANALOG_IN(3), PID_BASIC(3), VALVE_ELECTRIC(1)</t>
  </si>
  <si>
    <t xml:space="preserve">*manually corrected: Wrong high alarm value on transmitter TI-106  found, but the correct value is moved to corresponding PID, FIC-104. High alarm pin on transmitter is used for interlock logic. This solution yields correct functionality. </t>
  </si>
  <si>
    <t>*Ratio-controller.Secondary_PV comes from motor speed multiplied by 20?</t>
  </si>
  <si>
    <t>ANALOG_IN(2), MOTOR_VSD(1), PID_BASIC(1), RATIO_CONTROL(1)</t>
  </si>
  <si>
    <t>ammonium-nitrates</t>
  </si>
  <si>
    <t>ANALOG_IN(2), MOTOR_ON_OFF(1), PID_BASIC(2), VALVE_ELECTRIC(1)</t>
  </si>
  <si>
    <t>ANALOG_IN(5), PID_BASIC(2), VALVE_ELECTRIC(1)</t>
  </si>
  <si>
    <t>ANALOG_IN(3), MOTOR_ON_OFF(1), PID_BASIC(2), VALVE_ELECTRIC(2)</t>
  </si>
  <si>
    <t>ANALOG_IN(4), PID_BASIC(3), RATIO_CONTROL(1), VALVE_ELECTRIC(2)</t>
  </si>
  <si>
    <t>Generated_Function_Blocks</t>
  </si>
  <si>
    <t>Found_Control_Strategy</t>
  </si>
  <si>
    <t>GT_Control_Strategy</t>
  </si>
  <si>
    <t>Chapter</t>
  </si>
  <si>
    <t>Control_Narrative</t>
  </si>
  <si>
    <t>Notes on Q2M2</t>
  </si>
  <si>
    <t>Manual check Q2M2</t>
  </si>
  <si>
    <t>Manually found Q2M3</t>
  </si>
  <si>
    <t>Manually required Q2M3</t>
  </si>
  <si>
    <t>Notes on Q2M3</t>
  </si>
  <si>
    <t>Q2M3_Count</t>
  </si>
  <si>
    <t>Manual Q2M3_Count</t>
  </si>
  <si>
    <t>Q2M4 Required_PVs_Found</t>
  </si>
  <si>
    <t>Q2M4 Required_PVs_Total</t>
  </si>
  <si>
    <t>Q2M4 Required_PVs_Match</t>
  </si>
  <si>
    <t>Q2M4 Accuracy_Percent</t>
  </si>
  <si>
    <t>Q2M4 Additional_PVs</t>
  </si>
  <si>
    <t>Q2M4 Manual check Required PV</t>
  </si>
  <si>
    <t>Q2M4 Manual check Required_PVs_Total</t>
  </si>
  <si>
    <t>Q2M4 Manual check Required_PVs_Match</t>
  </si>
  <si>
    <t>Q2M4 Corrected accuracy percent</t>
  </si>
  <si>
    <t xml:space="preserve">Notes on Q2M4 </t>
  </si>
  <si>
    <t>Q2M1_Result from automated script</t>
  </si>
  <si>
    <t>Q2M2_Result from automated script</t>
  </si>
  <si>
    <t>Q2M3_Result from automated script</t>
  </si>
  <si>
    <t xml:space="preserve">Manual Q2M3_Result </t>
  </si>
  <si>
    <t>Baseline_Function_Blocks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</si>
</sst>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6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1" fontId="2" fillId="0" borderId="1" xfId="0" applyNumberFormat="1" applyFont="1" applyBorder="1" applyAlignment="1">
      <alignment horizontal="center" textRotation="90"/>
    </xf>
    <xf numFmtId="0" fontId="2" fillId="0" borderId="1" xfId="0" applyFont="1" applyBorder="1" applyAlignment="1">
      <alignment horizontal="center" textRotation="90"/>
    </xf>
    <xf numFmtId="0" fontId="2" fillId="0" borderId="2" xfId="0" applyFont="1" applyBorder="1" applyAlignment="1">
      <alignment horizontal="center" textRotation="90"/>
    </xf>
    <xf numFmtId="164" fontId="2" fillId="0" borderId="1" xfId="0" applyNumberFormat="1" applyFont="1" applyBorder="1" applyAlignment="1">
      <alignment horizontal="center" textRotation="90"/>
    </xf>
    <xf numFmtId="165" fontId="2" fillId="0" borderId="1" xfId="0" applyNumberFormat="1" applyFont="1" applyBorder="1" applyAlignment="1">
      <alignment horizontal="center" textRotation="90"/>
    </xf>
    <xf numFmtId="0" fontId="3" fillId="0" borderId="3" xfId="0" applyFont="1" applyBorder="1" applyAlignment="1">
      <alignment horizontal="center"/>
    </xf>
    <xf numFmtId="0" fontId="3" fillId="0" borderId="14" xfId="0" applyFont="1" applyBorder="1"/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165" fontId="3" fillId="0" borderId="14" xfId="0" applyNumberFormat="1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8" xfId="0" applyFont="1" applyBorder="1"/>
    <xf numFmtId="165" fontId="3" fillId="0" borderId="8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9" xfId="0" applyFont="1" applyBorder="1"/>
    <xf numFmtId="0" fontId="3" fillId="0" borderId="7" xfId="0" applyFont="1" applyBorder="1"/>
    <xf numFmtId="164" fontId="3" fillId="0" borderId="7" xfId="0" applyNumberFormat="1" applyFont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165" fontId="3" fillId="0" borderId="9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2" fillId="0" borderId="1" xfId="0" applyFont="1" applyBorder="1" applyAlignment="1">
      <alignment horizontal="center" wrapText="1"/>
    </xf>
    <xf numFmtId="0" fontId="3" fillId="3" borderId="1" xfId="0" applyFont="1" applyFill="1" applyBorder="1"/>
    <xf numFmtId="0" fontId="3" fillId="3" borderId="3" xfId="0" applyFont="1" applyFill="1" applyBorder="1"/>
    <xf numFmtId="0" fontId="3" fillId="3" borderId="15" xfId="0" applyFont="1" applyFill="1" applyBorder="1"/>
    <xf numFmtId="0" fontId="3" fillId="3" borderId="11" xfId="0" applyFont="1" applyFill="1" applyBorder="1"/>
    <xf numFmtId="0" fontId="0" fillId="3" borderId="0" xfId="0" applyFill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vertical="top" wrapText="1"/>
    </xf>
    <xf numFmtId="1" fontId="3" fillId="0" borderId="7" xfId="0" applyNumberFormat="1" applyFont="1" applyBorder="1" applyAlignment="1">
      <alignment horizontal="center" vertical="top"/>
    </xf>
    <xf numFmtId="0" fontId="3" fillId="0" borderId="7" xfId="0" applyFont="1" applyBorder="1" applyAlignment="1">
      <alignment vertical="top"/>
    </xf>
    <xf numFmtId="0" fontId="3" fillId="0" borderId="7" xfId="0" applyFont="1" applyBorder="1" applyAlignment="1">
      <alignment horizontal="center" vertical="top"/>
    </xf>
    <xf numFmtId="0" fontId="3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4" fillId="4" borderId="7" xfId="0" applyFont="1" applyFill="1" applyBorder="1" applyAlignment="1">
      <alignment horizontal="right" vertical="top"/>
    </xf>
    <xf numFmtId="0" fontId="0" fillId="3" borderId="0" xfId="0" applyFill="1" applyAlignment="1">
      <alignment vertical="top"/>
    </xf>
    <xf numFmtId="164" fontId="4" fillId="2" borderId="4" xfId="0" applyNumberFormat="1" applyFont="1" applyFill="1" applyBorder="1" applyAlignment="1">
      <alignment horizontal="center" vertical="top"/>
    </xf>
    <xf numFmtId="164" fontId="4" fillId="2" borderId="4" xfId="0" quotePrefix="1" applyNumberFormat="1" applyFont="1" applyFill="1" applyBorder="1" applyAlignment="1">
      <alignment horizontal="center" vertical="top" wrapText="1"/>
    </xf>
    <xf numFmtId="164" fontId="4" fillId="2" borderId="6" xfId="0" applyNumberFormat="1" applyFont="1" applyFill="1" applyBorder="1" applyAlignment="1">
      <alignment horizontal="center" vertical="top"/>
    </xf>
    <xf numFmtId="0" fontId="2" fillId="0" borderId="1" xfId="0" applyFont="1" applyBorder="1" applyAlignment="1">
      <alignment horizontal="left" textRotation="90"/>
    </xf>
    <xf numFmtId="0" fontId="3" fillId="0" borderId="14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7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3" fillId="3" borderId="10" xfId="0" applyFont="1" applyFill="1" applyBorder="1"/>
    <xf numFmtId="0" fontId="0" fillId="0" borderId="13" xfId="0" applyBorder="1"/>
    <xf numFmtId="0" fontId="2" fillId="0" borderId="0" xfId="0" applyFont="1" applyAlignment="1">
      <alignment horizontal="center" textRotation="90"/>
    </xf>
    <xf numFmtId="0" fontId="4" fillId="4" borderId="0" xfId="0" applyFont="1" applyFill="1" applyAlignment="1">
      <alignment horizontal="right" vertical="top"/>
    </xf>
    <xf numFmtId="0" fontId="2" fillId="5" borderId="13" xfId="0" applyFont="1" applyFill="1" applyBorder="1" applyAlignment="1">
      <alignment horizontal="center" textRotation="90"/>
    </xf>
    <xf numFmtId="0" fontId="3" fillId="5" borderId="0" xfId="0" applyFont="1" applyFill="1"/>
    <xf numFmtId="0" fontId="4" fillId="5" borderId="0" xfId="0" applyFont="1" applyFill="1" applyAlignment="1">
      <alignment horizontal="right" vertical="top"/>
    </xf>
    <xf numFmtId="0" fontId="0" fillId="0" borderId="0" xfId="0" applyAlignment="1">
      <alignment horizontal="righ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5" xfId="0" applyFont="1" applyBorder="1" applyAlignment="1">
      <alignment vertical="top" wrapText="1"/>
    </xf>
    <xf numFmtId="0" fontId="3" fillId="0" borderId="12" xfId="0" applyFont="1" applyBorder="1" applyAlignment="1">
      <alignment vertical="top"/>
    </xf>
    <xf numFmtId="0" fontId="0" fillId="0" borderId="12" xfId="0" applyBorder="1" applyAlignment="1">
      <alignment vertical="top"/>
    </xf>
    <xf numFmtId="0" fontId="3" fillId="0" borderId="12" xfId="0" applyFont="1" applyBorder="1" applyAlignment="1">
      <alignment horizontal="right" vertical="top"/>
    </xf>
    <xf numFmtId="0" fontId="0" fillId="5" borderId="0" xfId="0" applyFill="1"/>
    <xf numFmtId="164" fontId="2" fillId="0" borderId="13" xfId="0" applyNumberFormat="1" applyFont="1" applyBorder="1" applyAlignment="1">
      <alignment horizontal="center" textRotation="90"/>
    </xf>
    <xf numFmtId="0" fontId="1" fillId="0" borderId="0" xfId="0" applyFont="1" applyAlignment="1">
      <alignment horizontal="right"/>
    </xf>
    <xf numFmtId="164" fontId="3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49" fontId="3" fillId="4" borderId="0" xfId="0" applyNumberFormat="1" applyFont="1" applyFill="1" applyAlignment="1">
      <alignment horizontal="center"/>
    </xf>
    <xf numFmtId="165" fontId="3" fillId="4" borderId="8" xfId="0" applyNumberFormat="1" applyFont="1" applyFill="1" applyBorder="1" applyAlignment="1">
      <alignment horizontal="center"/>
    </xf>
    <xf numFmtId="164" fontId="3" fillId="4" borderId="7" xfId="0" applyNumberFormat="1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49" fontId="3" fillId="4" borderId="7" xfId="0" applyNumberFormat="1" applyFont="1" applyFill="1" applyBorder="1" applyAlignment="1">
      <alignment horizontal="center"/>
    </xf>
    <xf numFmtId="165" fontId="3" fillId="4" borderId="9" xfId="0" applyNumberFormat="1" applyFont="1" applyFill="1" applyBorder="1" applyAlignment="1">
      <alignment horizontal="center"/>
    </xf>
    <xf numFmtId="165" fontId="3" fillId="4" borderId="7" xfId="0" applyNumberFormat="1" applyFont="1" applyFill="1" applyBorder="1" applyAlignment="1">
      <alignment horizontal="center"/>
    </xf>
    <xf numFmtId="49" fontId="5" fillId="4" borderId="0" xfId="0" applyNumberFormat="1" applyFont="1" applyFill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49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3" fillId="2" borderId="7" xfId="0" applyFont="1" applyFill="1" applyBorder="1" applyAlignment="1">
      <alignment horizontal="center"/>
    </xf>
    <xf numFmtId="164" fontId="3" fillId="2" borderId="7" xfId="0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49" fontId="0" fillId="0" borderId="0" xfId="0" applyNumberFormat="1"/>
    <xf numFmtId="0" fontId="1" fillId="0" borderId="0" xfId="0" applyFont="1"/>
    <xf numFmtId="0" fontId="0" fillId="0" borderId="19" xfId="0" applyBorder="1" applyAlignment="1">
      <alignment wrapText="1"/>
    </xf>
    <xf numFmtId="0" fontId="1" fillId="6" borderId="12" xfId="0" applyFont="1" applyFill="1" applyBorder="1" applyAlignment="1">
      <alignment horizontal="center"/>
    </xf>
    <xf numFmtId="0" fontId="1" fillId="6" borderId="19" xfId="0" applyFont="1" applyFill="1" applyBorder="1" applyAlignment="1">
      <alignment wrapText="1"/>
    </xf>
    <xf numFmtId="0" fontId="1" fillId="6" borderId="12" xfId="0" applyFont="1" applyFill="1" applyBorder="1"/>
    <xf numFmtId="0" fontId="0" fillId="0" borderId="7" xfId="0" applyBorder="1" applyAlignment="1">
      <alignment wrapText="1"/>
    </xf>
    <xf numFmtId="164" fontId="0" fillId="0" borderId="9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8" fillId="0" borderId="18" xfId="0" applyFont="1" applyBorder="1" applyAlignment="1">
      <alignment wrapText="1"/>
    </xf>
    <xf numFmtId="49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0" borderId="18" xfId="0" applyBorder="1" applyAlignment="1">
      <alignment wrapText="1"/>
    </xf>
    <xf numFmtId="0" fontId="0" fillId="0" borderId="18" xfId="0" applyBorder="1" applyAlignment="1">
      <alignment horizontal="center"/>
    </xf>
    <xf numFmtId="0" fontId="0" fillId="0" borderId="7" xfId="0" applyBorder="1"/>
    <xf numFmtId="164" fontId="0" fillId="0" borderId="8" xfId="1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164" fontId="0" fillId="7" borderId="0" xfId="0" applyNumberFormat="1" applyFill="1" applyAlignment="1">
      <alignment horizontal="center"/>
    </xf>
    <xf numFmtId="164" fontId="0" fillId="0" borderId="8" xfId="0" applyNumberForma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8" fillId="0" borderId="19" xfId="0" applyFont="1" applyBorder="1" applyAlignment="1">
      <alignment wrapText="1"/>
    </xf>
    <xf numFmtId="2" fontId="0" fillId="0" borderId="0" xfId="0" applyNumberFormat="1" applyAlignment="1">
      <alignment wrapText="1"/>
    </xf>
    <xf numFmtId="2" fontId="0" fillId="0" borderId="7" xfId="0" applyNumberFormat="1" applyBorder="1" applyAlignment="1">
      <alignment wrapText="1"/>
    </xf>
    <xf numFmtId="0" fontId="0" fillId="7" borderId="7" xfId="0" applyFill="1" applyBorder="1" applyAlignment="1">
      <alignment horizontal="center"/>
    </xf>
    <xf numFmtId="2" fontId="0" fillId="0" borderId="13" xfId="0" applyNumberFormat="1" applyBorder="1" applyAlignment="1">
      <alignment wrapText="1"/>
    </xf>
    <xf numFmtId="49" fontId="0" fillId="7" borderId="12" xfId="0" applyNumberFormat="1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9" fillId="0" borderId="18" xfId="0" applyFont="1" applyBorder="1" applyAlignment="1">
      <alignment wrapText="1"/>
    </xf>
    <xf numFmtId="0" fontId="12" fillId="8" borderId="1" xfId="0" applyFont="1" applyFill="1" applyBorder="1" applyAlignment="1">
      <alignment horizontal="center"/>
    </xf>
    <xf numFmtId="0" fontId="12" fillId="8" borderId="22" xfId="0" applyFont="1" applyFill="1" applyBorder="1" applyAlignment="1">
      <alignment horizontal="center" textRotation="90"/>
    </xf>
    <xf numFmtId="0" fontId="12" fillId="8" borderId="6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 textRotation="90"/>
    </xf>
    <xf numFmtId="164" fontId="12" fillId="8" borderId="1" xfId="0" applyNumberFormat="1" applyFont="1" applyFill="1" applyBorder="1" applyAlignment="1">
      <alignment horizontal="center" textRotation="90"/>
    </xf>
    <xf numFmtId="0" fontId="1" fillId="8" borderId="21" xfId="0" applyFont="1" applyFill="1" applyBorder="1" applyAlignment="1">
      <alignment horizontal="center" wrapText="1"/>
    </xf>
    <xf numFmtId="0" fontId="12" fillId="8" borderId="6" xfId="0" applyFont="1" applyFill="1" applyBorder="1" applyAlignment="1">
      <alignment horizontal="center" textRotation="90"/>
    </xf>
    <xf numFmtId="0" fontId="12" fillId="8" borderId="2" xfId="0" applyFont="1" applyFill="1" applyBorder="1" applyAlignment="1">
      <alignment horizontal="center" textRotation="90"/>
    </xf>
    <xf numFmtId="0" fontId="10" fillId="8" borderId="6" xfId="0" applyFont="1" applyFill="1" applyBorder="1" applyAlignment="1">
      <alignment horizontal="center" textRotation="90"/>
    </xf>
    <xf numFmtId="0" fontId="10" fillId="8" borderId="1" xfId="0" applyFont="1" applyFill="1" applyBorder="1" applyAlignment="1">
      <alignment horizontal="center" textRotation="90"/>
    </xf>
    <xf numFmtId="49" fontId="10" fillId="8" borderId="1" xfId="0" applyNumberFormat="1" applyFont="1" applyFill="1" applyBorder="1" applyAlignment="1">
      <alignment horizontal="center" textRotation="90"/>
    </xf>
    <xf numFmtId="0" fontId="11" fillId="8" borderId="22" xfId="0" applyFont="1" applyFill="1" applyBorder="1" applyAlignment="1">
      <alignment horizontal="center" wrapText="1"/>
    </xf>
    <xf numFmtId="164" fontId="10" fillId="8" borderId="1" xfId="0" applyNumberFormat="1" applyFont="1" applyFill="1" applyBorder="1" applyAlignment="1">
      <alignment horizontal="center" textRotation="90"/>
    </xf>
    <xf numFmtId="0" fontId="10" fillId="8" borderId="22" xfId="0" applyFont="1" applyFill="1" applyBorder="1" applyAlignment="1">
      <alignment horizontal="center" textRotation="90"/>
    </xf>
    <xf numFmtId="0" fontId="10" fillId="8" borderId="9" xfId="0" applyFont="1" applyFill="1" applyBorder="1" applyAlignment="1">
      <alignment horizontal="center" textRotation="90"/>
    </xf>
    <xf numFmtId="49" fontId="10" fillId="8" borderId="2" xfId="0" applyNumberFormat="1" applyFont="1" applyFill="1" applyBorder="1" applyAlignment="1">
      <alignment horizontal="center" textRotation="90"/>
    </xf>
    <xf numFmtId="164" fontId="10" fillId="8" borderId="9" xfId="0" applyNumberFormat="1" applyFont="1" applyFill="1" applyBorder="1" applyAlignment="1">
      <alignment horizontal="center" textRotation="90"/>
    </xf>
    <xf numFmtId="0" fontId="10" fillId="8" borderId="7" xfId="0" applyFont="1" applyFill="1" applyBorder="1" applyAlignment="1">
      <alignment horizontal="center" wrapText="1"/>
    </xf>
    <xf numFmtId="0" fontId="0" fillId="0" borderId="0" xfId="0" applyBorder="1"/>
    <xf numFmtId="0" fontId="7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7" fillId="0" borderId="18" xfId="0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  <xf numFmtId="0" fontId="0" fillId="0" borderId="0" xfId="0" applyBorder="1" applyAlignment="1">
      <alignment wrapText="1"/>
    </xf>
    <xf numFmtId="0" fontId="0" fillId="6" borderId="12" xfId="0" applyFill="1" applyBorder="1"/>
    <xf numFmtId="164" fontId="1" fillId="6" borderId="12" xfId="0" applyNumberFormat="1" applyFont="1" applyFill="1" applyBorder="1" applyAlignment="1">
      <alignment horizontal="center"/>
    </xf>
    <xf numFmtId="0" fontId="1" fillId="6" borderId="19" xfId="0" applyFont="1" applyFill="1" applyBorder="1" applyAlignment="1">
      <alignment horizontal="center"/>
    </xf>
    <xf numFmtId="164" fontId="1" fillId="9" borderId="17" xfId="0" applyNumberFormat="1" applyFont="1" applyFill="1" applyBorder="1" applyAlignment="1">
      <alignment horizontal="center"/>
    </xf>
    <xf numFmtId="49" fontId="1" fillId="9" borderId="17" xfId="0" applyNumberFormat="1" applyFont="1" applyFill="1" applyBorder="1" applyAlignment="1">
      <alignment horizontal="center"/>
    </xf>
    <xf numFmtId="164" fontId="1" fillId="9" borderId="16" xfId="1" applyNumberFormat="1" applyFont="1" applyFill="1" applyBorder="1" applyAlignment="1">
      <alignment horizontal="center"/>
    </xf>
    <xf numFmtId="0" fontId="1" fillId="9" borderId="20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66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456FB-8F32-4F65-BCA4-CDFEC02322FB}">
  <dimension ref="A1:T70"/>
  <sheetViews>
    <sheetView workbookViewId="0">
      <selection activeCell="H67" sqref="H67:L70"/>
    </sheetView>
  </sheetViews>
  <sheetFormatPr defaultRowHeight="15" x14ac:dyDescent="0.25"/>
  <cols>
    <col min="1" max="1" width="22.85546875" customWidth="1"/>
    <col min="3" max="3" width="24.7109375" customWidth="1"/>
    <col min="4" max="4" width="5" bestFit="1" customWidth="1"/>
    <col min="5" max="5" width="7" customWidth="1"/>
    <col min="6" max="11" width="2.7109375" customWidth="1"/>
    <col min="12" max="12" width="9.140625" style="2"/>
    <col min="15" max="15" width="6.42578125" bestFit="1" customWidth="1"/>
    <col min="16" max="16" width="4" bestFit="1" customWidth="1"/>
    <col min="17" max="17" width="3.5703125" bestFit="1" customWidth="1"/>
    <col min="18" max="18" width="4" bestFit="1" customWidth="1"/>
    <col min="19" max="19" width="3.5703125" bestFit="1" customWidth="1"/>
    <col min="20" max="20" width="4" bestFit="1" customWidth="1"/>
  </cols>
  <sheetData>
    <row r="1" spans="1:20" ht="180" x14ac:dyDescent="0.25">
      <c r="A1" s="30" t="s">
        <v>107</v>
      </c>
      <c r="B1" s="7" t="s">
        <v>68</v>
      </c>
      <c r="C1" s="36" t="s">
        <v>0</v>
      </c>
      <c r="D1" s="8" t="s">
        <v>1</v>
      </c>
      <c r="E1" s="4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9" t="s">
        <v>7</v>
      </c>
      <c r="K1" s="57"/>
      <c r="L1" s="70" t="s">
        <v>111</v>
      </c>
      <c r="P1" s="55" t="s">
        <v>3</v>
      </c>
      <c r="Q1" s="55" t="s">
        <v>4</v>
      </c>
      <c r="R1" s="55" t="s">
        <v>5</v>
      </c>
      <c r="S1" s="55" t="s">
        <v>6</v>
      </c>
      <c r="T1" s="55" t="s">
        <v>7</v>
      </c>
    </row>
    <row r="2" spans="1:20" x14ac:dyDescent="0.25">
      <c r="A2" s="91" t="s">
        <v>64</v>
      </c>
      <c r="B2" s="12">
        <v>2</v>
      </c>
      <c r="C2" s="13" t="s">
        <v>8</v>
      </c>
      <c r="D2" s="12">
        <v>3826</v>
      </c>
      <c r="E2" s="49" t="s">
        <v>103</v>
      </c>
      <c r="F2" s="14">
        <v>11</v>
      </c>
      <c r="G2" s="14">
        <v>3</v>
      </c>
      <c r="H2" s="14">
        <v>11</v>
      </c>
      <c r="I2" s="14">
        <v>32</v>
      </c>
      <c r="J2" s="14">
        <v>24</v>
      </c>
      <c r="K2" s="58"/>
      <c r="L2" s="2">
        <f>F2*$P$2+G2*$Q$2+H2*$R$2+I2*$S$2+J2*$T$2</f>
        <v>47.5</v>
      </c>
      <c r="O2" t="s">
        <v>110</v>
      </c>
      <c r="P2">
        <v>0.5</v>
      </c>
      <c r="Q2">
        <v>1</v>
      </c>
      <c r="R2">
        <v>0.2</v>
      </c>
      <c r="S2">
        <v>1</v>
      </c>
      <c r="T2">
        <v>0.2</v>
      </c>
    </row>
    <row r="3" spans="1:20" x14ac:dyDescent="0.25">
      <c r="A3" s="92"/>
      <c r="B3" s="19">
        <v>3</v>
      </c>
      <c r="C3" s="20" t="s">
        <v>9</v>
      </c>
      <c r="D3" s="19">
        <v>4808</v>
      </c>
      <c r="E3" s="29" t="s">
        <v>104</v>
      </c>
      <c r="F3" s="14">
        <v>11</v>
      </c>
      <c r="G3" s="14">
        <v>11</v>
      </c>
      <c r="H3" s="14">
        <v>1</v>
      </c>
      <c r="I3" s="14">
        <v>32</v>
      </c>
      <c r="J3" s="14">
        <v>27</v>
      </c>
      <c r="K3" s="58"/>
      <c r="L3" s="2">
        <f t="shared" ref="L3:L66" si="0">F3*$P$2+G3*$Q$2+H3*$R$2+I3*$S$2+J3*$T$2</f>
        <v>54.1</v>
      </c>
    </row>
    <row r="4" spans="1:20" x14ac:dyDescent="0.25">
      <c r="A4" s="92"/>
      <c r="B4" s="19">
        <v>4</v>
      </c>
      <c r="C4" s="20" t="s">
        <v>10</v>
      </c>
      <c r="D4" s="19">
        <v>4762</v>
      </c>
      <c r="E4" s="29" t="s">
        <v>104</v>
      </c>
      <c r="F4" s="14">
        <v>9</v>
      </c>
      <c r="G4" s="14">
        <v>3</v>
      </c>
      <c r="H4" s="14">
        <v>7</v>
      </c>
      <c r="I4" s="14">
        <v>26</v>
      </c>
      <c r="J4" s="14">
        <v>26</v>
      </c>
      <c r="K4" s="58"/>
      <c r="L4" s="2">
        <f t="shared" si="0"/>
        <v>40.1</v>
      </c>
    </row>
    <row r="5" spans="1:20" x14ac:dyDescent="0.25">
      <c r="A5" s="92"/>
      <c r="B5" s="19">
        <v>5</v>
      </c>
      <c r="C5" s="20" t="s">
        <v>11</v>
      </c>
      <c r="D5" s="19">
        <v>4378</v>
      </c>
      <c r="E5" s="29" t="s">
        <v>104</v>
      </c>
      <c r="F5" s="14">
        <v>8</v>
      </c>
      <c r="G5" s="14">
        <v>12</v>
      </c>
      <c r="H5" s="14">
        <v>5</v>
      </c>
      <c r="I5" s="14">
        <v>33</v>
      </c>
      <c r="J5" s="14">
        <v>27</v>
      </c>
      <c r="K5" s="58"/>
      <c r="L5" s="2">
        <f t="shared" si="0"/>
        <v>55.4</v>
      </c>
    </row>
    <row r="6" spans="1:20" x14ac:dyDescent="0.25">
      <c r="A6" s="93"/>
      <c r="B6" s="22">
        <v>6</v>
      </c>
      <c r="C6" s="23" t="s">
        <v>12</v>
      </c>
      <c r="D6" s="22">
        <v>4408</v>
      </c>
      <c r="E6" s="50" t="s">
        <v>103</v>
      </c>
      <c r="F6" s="24">
        <v>7</v>
      </c>
      <c r="G6" s="24">
        <v>14</v>
      </c>
      <c r="H6" s="24">
        <v>4</v>
      </c>
      <c r="I6" s="24">
        <v>32</v>
      </c>
      <c r="J6" s="24">
        <v>21</v>
      </c>
      <c r="K6" s="58"/>
      <c r="L6" s="2">
        <f t="shared" si="0"/>
        <v>54.5</v>
      </c>
    </row>
    <row r="7" spans="1:20" x14ac:dyDescent="0.25">
      <c r="A7" s="88" t="s">
        <v>65</v>
      </c>
      <c r="B7" s="19">
        <v>2</v>
      </c>
      <c r="C7" s="20" t="s">
        <v>13</v>
      </c>
      <c r="D7" s="19">
        <v>3752</v>
      </c>
      <c r="E7" s="29" t="s">
        <v>105</v>
      </c>
      <c r="F7" s="14">
        <v>8</v>
      </c>
      <c r="G7" s="14">
        <v>3</v>
      </c>
      <c r="H7" s="14">
        <v>5</v>
      </c>
      <c r="I7" s="14">
        <v>21</v>
      </c>
      <c r="J7" s="14">
        <v>17</v>
      </c>
      <c r="K7" s="58"/>
      <c r="L7" s="2">
        <f t="shared" si="0"/>
        <v>32.4</v>
      </c>
    </row>
    <row r="8" spans="1:20" x14ac:dyDescent="0.25">
      <c r="A8" s="89"/>
      <c r="B8" s="19">
        <v>3</v>
      </c>
      <c r="C8" s="20" t="s">
        <v>14</v>
      </c>
      <c r="D8" s="19">
        <v>3613</v>
      </c>
      <c r="E8" s="29" t="s">
        <v>105</v>
      </c>
      <c r="F8" s="14">
        <v>9</v>
      </c>
      <c r="G8" s="14">
        <v>1</v>
      </c>
      <c r="H8" s="14">
        <v>5</v>
      </c>
      <c r="I8" s="14">
        <v>17</v>
      </c>
      <c r="J8" s="14">
        <v>23</v>
      </c>
      <c r="K8" s="58"/>
      <c r="L8" s="2">
        <f t="shared" si="0"/>
        <v>28.1</v>
      </c>
    </row>
    <row r="9" spans="1:20" x14ac:dyDescent="0.25">
      <c r="A9" s="89"/>
      <c r="B9" s="19">
        <v>4</v>
      </c>
      <c r="C9" s="20" t="s">
        <v>15</v>
      </c>
      <c r="D9" s="19">
        <v>4078</v>
      </c>
      <c r="E9" s="29" t="s">
        <v>104</v>
      </c>
      <c r="F9" s="14">
        <v>8</v>
      </c>
      <c r="G9" s="14">
        <v>5</v>
      </c>
      <c r="H9" s="14">
        <v>8</v>
      </c>
      <c r="I9" s="14">
        <v>29</v>
      </c>
      <c r="J9" s="14">
        <v>23</v>
      </c>
      <c r="K9" s="58"/>
      <c r="L9" s="2">
        <f t="shared" si="0"/>
        <v>44.2</v>
      </c>
    </row>
    <row r="10" spans="1:20" x14ac:dyDescent="0.25">
      <c r="A10" s="90"/>
      <c r="B10" s="22">
        <v>6</v>
      </c>
      <c r="C10" s="23" t="s">
        <v>17</v>
      </c>
      <c r="D10" s="22">
        <v>3314</v>
      </c>
      <c r="E10" s="50" t="s">
        <v>103</v>
      </c>
      <c r="F10" s="24">
        <v>9</v>
      </c>
      <c r="G10" s="24">
        <v>4</v>
      </c>
      <c r="H10" s="24">
        <v>4</v>
      </c>
      <c r="I10" s="24">
        <v>25</v>
      </c>
      <c r="J10" s="24">
        <v>14</v>
      </c>
      <c r="K10" s="58"/>
      <c r="L10" s="2">
        <f t="shared" si="0"/>
        <v>37.099999999999994</v>
      </c>
    </row>
    <row r="11" spans="1:20" x14ac:dyDescent="0.25">
      <c r="A11" s="88" t="s">
        <v>66</v>
      </c>
      <c r="B11" s="19">
        <v>2</v>
      </c>
      <c r="C11" s="20" t="s">
        <v>18</v>
      </c>
      <c r="D11" s="19">
        <v>4826</v>
      </c>
      <c r="E11" s="29" t="s">
        <v>103</v>
      </c>
      <c r="F11" s="14">
        <v>9</v>
      </c>
      <c r="G11" s="14">
        <v>3</v>
      </c>
      <c r="H11" s="14">
        <v>11</v>
      </c>
      <c r="I11" s="14">
        <v>39</v>
      </c>
      <c r="J11" s="14">
        <v>30</v>
      </c>
      <c r="K11" s="58"/>
      <c r="L11" s="2">
        <f t="shared" si="0"/>
        <v>54.7</v>
      </c>
    </row>
    <row r="12" spans="1:20" x14ac:dyDescent="0.25">
      <c r="A12" s="89"/>
      <c r="B12" s="19">
        <v>3</v>
      </c>
      <c r="C12" s="20" t="s">
        <v>19</v>
      </c>
      <c r="D12" s="19">
        <v>4339</v>
      </c>
      <c r="E12" s="29" t="s">
        <v>105</v>
      </c>
      <c r="F12" s="14">
        <v>5</v>
      </c>
      <c r="G12" s="14">
        <v>3</v>
      </c>
      <c r="H12" s="14">
        <v>2</v>
      </c>
      <c r="I12" s="14">
        <v>13</v>
      </c>
      <c r="J12" s="14">
        <v>15</v>
      </c>
      <c r="K12" s="58"/>
      <c r="L12" s="2">
        <f t="shared" si="0"/>
        <v>21.9</v>
      </c>
    </row>
    <row r="13" spans="1:20" x14ac:dyDescent="0.25">
      <c r="A13" s="89"/>
      <c r="B13" s="19">
        <v>4</v>
      </c>
      <c r="C13" s="20" t="s">
        <v>20</v>
      </c>
      <c r="D13" s="19">
        <v>4525</v>
      </c>
      <c r="E13" s="29" t="s">
        <v>105</v>
      </c>
      <c r="F13" s="14">
        <v>11</v>
      </c>
      <c r="G13" s="14">
        <v>19</v>
      </c>
      <c r="H13" s="14">
        <v>11</v>
      </c>
      <c r="I13" s="14">
        <v>47</v>
      </c>
      <c r="J13" s="14">
        <v>38</v>
      </c>
      <c r="K13" s="58"/>
      <c r="L13" s="2">
        <f t="shared" si="0"/>
        <v>81.3</v>
      </c>
    </row>
    <row r="14" spans="1:20" x14ac:dyDescent="0.25">
      <c r="A14" s="89"/>
      <c r="B14" s="19">
        <v>5</v>
      </c>
      <c r="C14" s="20" t="s">
        <v>21</v>
      </c>
      <c r="D14" s="19">
        <v>4599</v>
      </c>
      <c r="E14" s="29" t="s">
        <v>105</v>
      </c>
      <c r="F14" s="14">
        <v>11</v>
      </c>
      <c r="G14" s="14">
        <v>4</v>
      </c>
      <c r="H14" s="14">
        <v>7</v>
      </c>
      <c r="I14" s="14">
        <v>27</v>
      </c>
      <c r="J14" s="14">
        <v>21</v>
      </c>
      <c r="K14" s="58"/>
      <c r="L14" s="2">
        <f t="shared" si="0"/>
        <v>42.1</v>
      </c>
    </row>
    <row r="15" spans="1:20" x14ac:dyDescent="0.25">
      <c r="A15" s="89"/>
      <c r="B15" s="19">
        <v>6</v>
      </c>
      <c r="C15" s="20" t="s">
        <v>22</v>
      </c>
      <c r="D15" s="19">
        <v>5368</v>
      </c>
      <c r="E15" s="29" t="s">
        <v>105</v>
      </c>
      <c r="F15" s="14">
        <v>10</v>
      </c>
      <c r="G15" s="14">
        <v>17</v>
      </c>
      <c r="H15" s="14">
        <v>9</v>
      </c>
      <c r="I15" s="14">
        <v>49</v>
      </c>
      <c r="J15" s="14">
        <v>32</v>
      </c>
      <c r="K15" s="58"/>
      <c r="L15" s="2">
        <f t="shared" si="0"/>
        <v>79.2</v>
      </c>
    </row>
    <row r="16" spans="1:20" x14ac:dyDescent="0.25">
      <c r="A16" s="89"/>
      <c r="B16" s="19">
        <v>7</v>
      </c>
      <c r="C16" s="20" t="s">
        <v>23</v>
      </c>
      <c r="D16" s="19">
        <v>3975</v>
      </c>
      <c r="E16" s="29" t="s">
        <v>105</v>
      </c>
      <c r="F16" s="14">
        <v>10</v>
      </c>
      <c r="G16" s="14">
        <v>14</v>
      </c>
      <c r="H16" s="14">
        <v>20</v>
      </c>
      <c r="I16" s="14">
        <v>52</v>
      </c>
      <c r="J16" s="14">
        <v>30</v>
      </c>
      <c r="K16" s="58"/>
      <c r="L16" s="2">
        <f t="shared" si="0"/>
        <v>81</v>
      </c>
    </row>
    <row r="17" spans="1:12" x14ac:dyDescent="0.25">
      <c r="A17" s="89"/>
      <c r="B17" s="19">
        <v>8</v>
      </c>
      <c r="C17" s="20" t="s">
        <v>24</v>
      </c>
      <c r="D17" s="19">
        <v>4370</v>
      </c>
      <c r="E17" s="29" t="s">
        <v>103</v>
      </c>
      <c r="F17" s="14">
        <v>9</v>
      </c>
      <c r="G17" s="14">
        <v>5</v>
      </c>
      <c r="H17" s="14">
        <v>1</v>
      </c>
      <c r="I17" s="14">
        <v>23</v>
      </c>
      <c r="J17" s="14">
        <v>15</v>
      </c>
      <c r="K17" s="58"/>
      <c r="L17" s="2">
        <f t="shared" si="0"/>
        <v>35.700000000000003</v>
      </c>
    </row>
    <row r="18" spans="1:12" x14ac:dyDescent="0.25">
      <c r="A18" s="90"/>
      <c r="B18" s="22">
        <v>9</v>
      </c>
      <c r="C18" s="23" t="s">
        <v>25</v>
      </c>
      <c r="D18" s="22">
        <v>3918</v>
      </c>
      <c r="E18" s="50" t="s">
        <v>105</v>
      </c>
      <c r="F18" s="24">
        <v>6</v>
      </c>
      <c r="G18" s="24">
        <v>6</v>
      </c>
      <c r="H18" s="24">
        <v>3</v>
      </c>
      <c r="I18" s="24">
        <v>21</v>
      </c>
      <c r="J18" s="24">
        <v>15</v>
      </c>
      <c r="K18" s="58"/>
      <c r="L18" s="2">
        <f t="shared" si="0"/>
        <v>33.6</v>
      </c>
    </row>
    <row r="19" spans="1:12" x14ac:dyDescent="0.25">
      <c r="A19" s="88" t="s">
        <v>67</v>
      </c>
      <c r="B19" s="19">
        <v>2</v>
      </c>
      <c r="C19" s="20" t="s">
        <v>26</v>
      </c>
      <c r="D19" s="19">
        <v>5415</v>
      </c>
      <c r="E19" s="29" t="s">
        <v>105</v>
      </c>
      <c r="F19" s="14">
        <v>13</v>
      </c>
      <c r="G19" s="14">
        <v>26</v>
      </c>
      <c r="H19" s="14">
        <v>14</v>
      </c>
      <c r="I19" s="14">
        <v>68</v>
      </c>
      <c r="J19" s="14">
        <v>57</v>
      </c>
      <c r="K19" s="58"/>
      <c r="L19" s="2">
        <f t="shared" si="0"/>
        <v>114.7</v>
      </c>
    </row>
    <row r="20" spans="1:12" x14ac:dyDescent="0.25">
      <c r="A20" s="89"/>
      <c r="B20" s="19">
        <v>3</v>
      </c>
      <c r="C20" s="20" t="s">
        <v>27</v>
      </c>
      <c r="D20" s="19">
        <v>4698</v>
      </c>
      <c r="E20" s="29" t="s">
        <v>103</v>
      </c>
      <c r="F20" s="14">
        <v>20</v>
      </c>
      <c r="G20" s="14">
        <v>29</v>
      </c>
      <c r="H20" s="14">
        <v>2</v>
      </c>
      <c r="I20" s="14">
        <v>5</v>
      </c>
      <c r="J20" s="14">
        <v>3</v>
      </c>
      <c r="K20" s="58"/>
      <c r="L20" s="2">
        <f t="shared" si="0"/>
        <v>45</v>
      </c>
    </row>
    <row r="21" spans="1:12" x14ac:dyDescent="0.25">
      <c r="A21" s="89"/>
      <c r="B21" s="19">
        <v>4</v>
      </c>
      <c r="C21" s="20" t="s">
        <v>28</v>
      </c>
      <c r="D21" s="19">
        <v>4373</v>
      </c>
      <c r="E21" s="29" t="s">
        <v>105</v>
      </c>
      <c r="F21" s="14">
        <v>14</v>
      </c>
      <c r="G21" s="14">
        <v>5</v>
      </c>
      <c r="H21" s="14">
        <v>5</v>
      </c>
      <c r="I21" s="14">
        <v>3</v>
      </c>
      <c r="J21" s="14">
        <v>17</v>
      </c>
      <c r="K21" s="58"/>
      <c r="L21" s="2">
        <f t="shared" si="0"/>
        <v>19.399999999999999</v>
      </c>
    </row>
    <row r="22" spans="1:12" x14ac:dyDescent="0.25">
      <c r="A22" s="89"/>
      <c r="B22" s="19">
        <v>5</v>
      </c>
      <c r="C22" s="20" t="s">
        <v>29</v>
      </c>
      <c r="D22" s="19">
        <v>4432</v>
      </c>
      <c r="E22" s="29" t="s">
        <v>105</v>
      </c>
      <c r="F22" s="14">
        <v>10</v>
      </c>
      <c r="G22" s="14">
        <v>7</v>
      </c>
      <c r="H22" s="14">
        <v>4</v>
      </c>
      <c r="I22" s="14">
        <v>27</v>
      </c>
      <c r="J22" s="14">
        <v>14</v>
      </c>
      <c r="K22" s="58"/>
      <c r="L22" s="2">
        <f t="shared" si="0"/>
        <v>42.599999999999994</v>
      </c>
    </row>
    <row r="23" spans="1:12" x14ac:dyDescent="0.25">
      <c r="A23" s="90"/>
      <c r="B23" s="22">
        <v>6</v>
      </c>
      <c r="C23" s="23" t="s">
        <v>30</v>
      </c>
      <c r="D23" s="22">
        <v>3665</v>
      </c>
      <c r="E23" s="50" t="s">
        <v>103</v>
      </c>
      <c r="F23" s="24">
        <v>6</v>
      </c>
      <c r="G23" s="24">
        <v>2</v>
      </c>
      <c r="H23" s="24">
        <v>6</v>
      </c>
      <c r="I23" s="24">
        <v>18</v>
      </c>
      <c r="J23" s="24">
        <v>22</v>
      </c>
      <c r="K23" s="58"/>
      <c r="L23" s="2">
        <f t="shared" si="0"/>
        <v>28.6</v>
      </c>
    </row>
    <row r="24" spans="1:12" x14ac:dyDescent="0.25">
      <c r="A24" s="88" t="s">
        <v>69</v>
      </c>
      <c r="B24" s="19">
        <v>2</v>
      </c>
      <c r="C24" s="20" t="s">
        <v>31</v>
      </c>
      <c r="D24" s="19">
        <v>4130</v>
      </c>
      <c r="E24" s="29" t="s">
        <v>103</v>
      </c>
      <c r="F24" s="14">
        <v>7</v>
      </c>
      <c r="G24" s="14">
        <v>2</v>
      </c>
      <c r="H24" s="14">
        <v>6</v>
      </c>
      <c r="I24" s="14">
        <v>20</v>
      </c>
      <c r="J24" s="14">
        <v>17</v>
      </c>
      <c r="K24" s="58"/>
      <c r="L24" s="2">
        <f t="shared" si="0"/>
        <v>30.1</v>
      </c>
    </row>
    <row r="25" spans="1:12" x14ac:dyDescent="0.25">
      <c r="A25" s="89"/>
      <c r="B25" s="19">
        <v>3</v>
      </c>
      <c r="C25" s="20" t="s">
        <v>32</v>
      </c>
      <c r="D25" s="19">
        <v>3318</v>
      </c>
      <c r="E25" s="29" t="s">
        <v>105</v>
      </c>
      <c r="F25" s="14">
        <v>6</v>
      </c>
      <c r="G25" s="14">
        <v>2</v>
      </c>
      <c r="H25" s="14">
        <v>5</v>
      </c>
      <c r="I25" s="14">
        <v>16</v>
      </c>
      <c r="J25" s="14">
        <v>19</v>
      </c>
      <c r="K25" s="58"/>
      <c r="L25" s="2">
        <f t="shared" si="0"/>
        <v>25.8</v>
      </c>
    </row>
    <row r="26" spans="1:12" x14ac:dyDescent="0.25">
      <c r="A26" s="89"/>
      <c r="B26" s="19">
        <v>4</v>
      </c>
      <c r="C26" s="20" t="s">
        <v>33</v>
      </c>
      <c r="D26" s="19">
        <v>4457</v>
      </c>
      <c r="E26" s="29" t="s">
        <v>103</v>
      </c>
      <c r="F26" s="14">
        <v>9</v>
      </c>
      <c r="G26" s="14">
        <v>1</v>
      </c>
      <c r="H26" s="14">
        <v>6</v>
      </c>
      <c r="I26" s="14">
        <v>19</v>
      </c>
      <c r="J26" s="14">
        <v>20</v>
      </c>
      <c r="K26" s="58"/>
      <c r="L26" s="2">
        <f t="shared" si="0"/>
        <v>29.7</v>
      </c>
    </row>
    <row r="27" spans="1:12" x14ac:dyDescent="0.25">
      <c r="A27" s="89"/>
      <c r="B27" s="19">
        <v>5</v>
      </c>
      <c r="C27" s="20" t="s">
        <v>34</v>
      </c>
      <c r="D27" s="19">
        <v>5221</v>
      </c>
      <c r="E27" s="29" t="s">
        <v>35</v>
      </c>
      <c r="F27" s="14">
        <v>16</v>
      </c>
      <c r="G27" s="14">
        <v>4</v>
      </c>
      <c r="H27" s="14">
        <v>2</v>
      </c>
      <c r="I27" s="14">
        <v>36</v>
      </c>
      <c r="J27" s="14">
        <v>40</v>
      </c>
      <c r="K27" s="58"/>
      <c r="L27" s="2">
        <f t="shared" si="0"/>
        <v>56.4</v>
      </c>
    </row>
    <row r="28" spans="1:12" x14ac:dyDescent="0.25">
      <c r="A28" s="89"/>
      <c r="B28" s="19">
        <v>6</v>
      </c>
      <c r="C28" s="20" t="s">
        <v>36</v>
      </c>
      <c r="D28" s="19">
        <v>3791</v>
      </c>
      <c r="E28" s="29" t="s">
        <v>103</v>
      </c>
      <c r="F28" s="14">
        <v>8</v>
      </c>
      <c r="G28" s="14">
        <v>23</v>
      </c>
      <c r="H28" s="14">
        <v>9</v>
      </c>
      <c r="I28" s="14">
        <v>51</v>
      </c>
      <c r="J28" s="14">
        <v>26</v>
      </c>
      <c r="K28" s="58"/>
      <c r="L28" s="2">
        <f t="shared" si="0"/>
        <v>85</v>
      </c>
    </row>
    <row r="29" spans="1:12" x14ac:dyDescent="0.25">
      <c r="A29" s="90"/>
      <c r="B29" s="22">
        <v>7</v>
      </c>
      <c r="C29" s="23" t="s">
        <v>37</v>
      </c>
      <c r="D29" s="22">
        <v>3811</v>
      </c>
      <c r="E29" s="50" t="s">
        <v>103</v>
      </c>
      <c r="F29" s="24">
        <v>9</v>
      </c>
      <c r="G29" s="24">
        <v>2</v>
      </c>
      <c r="H29" s="24">
        <v>10</v>
      </c>
      <c r="I29" s="24">
        <v>29</v>
      </c>
      <c r="J29" s="24">
        <v>34</v>
      </c>
      <c r="K29" s="58"/>
      <c r="L29" s="2">
        <f t="shared" si="0"/>
        <v>44.3</v>
      </c>
    </row>
    <row r="30" spans="1:12" x14ac:dyDescent="0.25">
      <c r="A30" s="88" t="s">
        <v>70</v>
      </c>
      <c r="B30" s="19">
        <v>2</v>
      </c>
      <c r="C30" s="20" t="s">
        <v>38</v>
      </c>
      <c r="D30" s="19">
        <v>3773</v>
      </c>
      <c r="E30" s="29" t="s">
        <v>103</v>
      </c>
      <c r="F30" s="14">
        <v>9</v>
      </c>
      <c r="G30" s="14">
        <v>2</v>
      </c>
      <c r="H30" s="14">
        <v>5</v>
      </c>
      <c r="I30" s="14">
        <v>24</v>
      </c>
      <c r="J30" s="14">
        <v>11</v>
      </c>
      <c r="K30" s="58"/>
      <c r="L30" s="2">
        <f t="shared" si="0"/>
        <v>33.700000000000003</v>
      </c>
    </row>
    <row r="31" spans="1:12" x14ac:dyDescent="0.25">
      <c r="A31" s="89"/>
      <c r="B31" s="19">
        <v>3</v>
      </c>
      <c r="C31" s="20" t="s">
        <v>39</v>
      </c>
      <c r="D31" s="19">
        <v>2600</v>
      </c>
      <c r="E31" s="29" t="s">
        <v>105</v>
      </c>
      <c r="F31" s="14">
        <v>4</v>
      </c>
      <c r="G31" s="14">
        <v>2</v>
      </c>
      <c r="H31" s="14">
        <v>3</v>
      </c>
      <c r="I31" s="14">
        <v>16</v>
      </c>
      <c r="J31" s="14">
        <v>18</v>
      </c>
      <c r="K31" s="58"/>
      <c r="L31" s="2">
        <f t="shared" si="0"/>
        <v>24.200000000000003</v>
      </c>
    </row>
    <row r="32" spans="1:12" x14ac:dyDescent="0.25">
      <c r="A32" s="89"/>
      <c r="B32" s="19">
        <v>4</v>
      </c>
      <c r="C32" s="20" t="s">
        <v>40</v>
      </c>
      <c r="D32" s="19">
        <v>3092</v>
      </c>
      <c r="E32" s="29" t="s">
        <v>105</v>
      </c>
      <c r="F32" s="14">
        <v>5</v>
      </c>
      <c r="G32" s="14">
        <v>5</v>
      </c>
      <c r="H32" s="14">
        <v>6</v>
      </c>
      <c r="I32" s="14">
        <v>18</v>
      </c>
      <c r="J32" s="14">
        <v>14</v>
      </c>
      <c r="K32" s="58"/>
      <c r="L32" s="2">
        <f t="shared" si="0"/>
        <v>29.5</v>
      </c>
    </row>
    <row r="33" spans="1:12" x14ac:dyDescent="0.25">
      <c r="A33" s="89"/>
      <c r="B33" s="19">
        <v>5</v>
      </c>
      <c r="C33" s="20" t="s">
        <v>41</v>
      </c>
      <c r="D33" s="19">
        <v>3512</v>
      </c>
      <c r="E33" s="29" t="s">
        <v>105</v>
      </c>
      <c r="F33" s="14">
        <v>10</v>
      </c>
      <c r="G33" s="14">
        <v>12</v>
      </c>
      <c r="H33" s="14">
        <v>10</v>
      </c>
      <c r="I33" s="14">
        <v>42</v>
      </c>
      <c r="J33" s="14">
        <v>34</v>
      </c>
      <c r="K33" s="58"/>
      <c r="L33" s="2">
        <f t="shared" si="0"/>
        <v>67.8</v>
      </c>
    </row>
    <row r="34" spans="1:12" x14ac:dyDescent="0.25">
      <c r="A34" s="89"/>
      <c r="B34" s="19">
        <v>6</v>
      </c>
      <c r="C34" s="20" t="s">
        <v>82</v>
      </c>
      <c r="D34" s="19">
        <v>3451</v>
      </c>
      <c r="E34" s="29" t="s">
        <v>105</v>
      </c>
      <c r="F34" s="14">
        <v>7</v>
      </c>
      <c r="G34" s="14">
        <v>3</v>
      </c>
      <c r="H34" s="14">
        <v>3</v>
      </c>
      <c r="I34" s="14">
        <v>22</v>
      </c>
      <c r="J34" s="14">
        <v>30</v>
      </c>
      <c r="K34" s="58"/>
      <c r="L34" s="2">
        <f t="shared" si="0"/>
        <v>35.1</v>
      </c>
    </row>
    <row r="35" spans="1:12" x14ac:dyDescent="0.25">
      <c r="A35" s="90"/>
      <c r="B35" s="22">
        <v>7</v>
      </c>
      <c r="C35" s="23" t="s">
        <v>42</v>
      </c>
      <c r="D35" s="22">
        <v>2979</v>
      </c>
      <c r="E35" s="50" t="s">
        <v>105</v>
      </c>
      <c r="F35" s="24">
        <v>5</v>
      </c>
      <c r="G35" s="24">
        <v>3</v>
      </c>
      <c r="H35" s="24">
        <v>4</v>
      </c>
      <c r="I35" s="24">
        <v>16</v>
      </c>
      <c r="J35" s="24">
        <v>15</v>
      </c>
      <c r="K35" s="58"/>
      <c r="L35" s="2">
        <f t="shared" si="0"/>
        <v>25.3</v>
      </c>
    </row>
    <row r="36" spans="1:12" x14ac:dyDescent="0.25">
      <c r="A36" s="88" t="s">
        <v>71</v>
      </c>
      <c r="B36" s="19">
        <v>2</v>
      </c>
      <c r="C36" s="20" t="s">
        <v>43</v>
      </c>
      <c r="D36" s="19">
        <v>3899</v>
      </c>
      <c r="E36" s="29" t="s">
        <v>105</v>
      </c>
      <c r="F36" s="14">
        <v>8</v>
      </c>
      <c r="G36" s="14">
        <v>11</v>
      </c>
      <c r="H36" s="14">
        <v>8</v>
      </c>
      <c r="I36" s="14">
        <v>34</v>
      </c>
      <c r="J36" s="14">
        <v>28</v>
      </c>
      <c r="K36" s="58"/>
      <c r="L36" s="2">
        <f t="shared" si="0"/>
        <v>56.2</v>
      </c>
    </row>
    <row r="37" spans="1:12" x14ac:dyDescent="0.25">
      <c r="A37" s="89"/>
      <c r="B37" s="19">
        <v>3</v>
      </c>
      <c r="C37" s="20" t="s">
        <v>44</v>
      </c>
      <c r="D37" s="19">
        <v>4713</v>
      </c>
      <c r="E37" s="29" t="s">
        <v>104</v>
      </c>
      <c r="F37" s="14">
        <v>8</v>
      </c>
      <c r="G37" s="14">
        <v>2</v>
      </c>
      <c r="H37" s="14">
        <v>6</v>
      </c>
      <c r="I37" s="14">
        <v>23</v>
      </c>
      <c r="J37" s="14">
        <v>26</v>
      </c>
      <c r="K37" s="58"/>
      <c r="L37" s="2">
        <f t="shared" si="0"/>
        <v>35.4</v>
      </c>
    </row>
    <row r="38" spans="1:12" x14ac:dyDescent="0.25">
      <c r="A38" s="89"/>
      <c r="B38" s="19">
        <v>4</v>
      </c>
      <c r="C38" s="20" t="s">
        <v>45</v>
      </c>
      <c r="D38" s="19">
        <v>4191</v>
      </c>
      <c r="E38" s="29" t="s">
        <v>105</v>
      </c>
      <c r="F38" s="14">
        <v>11</v>
      </c>
      <c r="G38" s="14">
        <v>7</v>
      </c>
      <c r="H38" s="14">
        <v>5</v>
      </c>
      <c r="I38" s="14">
        <v>32</v>
      </c>
      <c r="J38" s="14">
        <v>17</v>
      </c>
      <c r="K38" s="58"/>
      <c r="L38" s="2">
        <f t="shared" si="0"/>
        <v>48.9</v>
      </c>
    </row>
    <row r="39" spans="1:12" x14ac:dyDescent="0.25">
      <c r="A39" s="89"/>
      <c r="B39" s="19">
        <v>5</v>
      </c>
      <c r="C39" s="20" t="s">
        <v>46</v>
      </c>
      <c r="D39" s="19">
        <v>4644</v>
      </c>
      <c r="E39" s="29" t="s">
        <v>105</v>
      </c>
      <c r="F39" s="14">
        <v>9</v>
      </c>
      <c r="G39" s="14">
        <v>1</v>
      </c>
      <c r="H39" s="14">
        <v>6</v>
      </c>
      <c r="I39" s="14">
        <v>19</v>
      </c>
      <c r="J39" s="14">
        <v>43</v>
      </c>
      <c r="K39" s="58"/>
      <c r="L39" s="2">
        <f t="shared" si="0"/>
        <v>34.299999999999997</v>
      </c>
    </row>
    <row r="40" spans="1:12" x14ac:dyDescent="0.25">
      <c r="A40" s="89"/>
      <c r="B40" s="19">
        <v>6</v>
      </c>
      <c r="C40" s="20" t="s">
        <v>47</v>
      </c>
      <c r="D40" s="19">
        <v>4947</v>
      </c>
      <c r="E40" s="29" t="s">
        <v>105</v>
      </c>
      <c r="F40" s="14">
        <v>14</v>
      </c>
      <c r="G40" s="14">
        <v>9</v>
      </c>
      <c r="H40" s="14">
        <v>7</v>
      </c>
      <c r="I40" s="14">
        <v>36</v>
      </c>
      <c r="J40" s="14">
        <v>34</v>
      </c>
      <c r="K40" s="58"/>
      <c r="L40" s="2">
        <f t="shared" si="0"/>
        <v>60.2</v>
      </c>
    </row>
    <row r="41" spans="1:12" x14ac:dyDescent="0.25">
      <c r="A41" s="89"/>
      <c r="B41" s="19">
        <v>7</v>
      </c>
      <c r="C41" s="20" t="s">
        <v>48</v>
      </c>
      <c r="D41" s="19">
        <v>4903</v>
      </c>
      <c r="E41" s="29" t="s">
        <v>103</v>
      </c>
      <c r="F41" s="14">
        <v>10</v>
      </c>
      <c r="G41" s="14">
        <v>9</v>
      </c>
      <c r="H41" s="14">
        <v>17</v>
      </c>
      <c r="I41" s="14">
        <v>5</v>
      </c>
      <c r="J41" s="14">
        <v>5</v>
      </c>
      <c r="K41" s="58"/>
      <c r="L41" s="2">
        <f t="shared" si="0"/>
        <v>23.4</v>
      </c>
    </row>
    <row r="42" spans="1:12" x14ac:dyDescent="0.25">
      <c r="A42" s="89"/>
      <c r="B42" s="19">
        <v>8</v>
      </c>
      <c r="C42" s="20" t="s">
        <v>83</v>
      </c>
      <c r="D42" s="19">
        <v>4123</v>
      </c>
      <c r="E42" s="29" t="s">
        <v>105</v>
      </c>
      <c r="F42" s="14">
        <v>8</v>
      </c>
      <c r="G42" s="14">
        <v>5</v>
      </c>
      <c r="H42" s="14">
        <v>12</v>
      </c>
      <c r="I42" s="14">
        <v>29</v>
      </c>
      <c r="J42" s="14">
        <v>22</v>
      </c>
      <c r="K42" s="58"/>
      <c r="L42" s="2">
        <f t="shared" si="0"/>
        <v>44.8</v>
      </c>
    </row>
    <row r="43" spans="1:12" x14ac:dyDescent="0.25">
      <c r="A43" s="89"/>
      <c r="B43" s="19">
        <v>9</v>
      </c>
      <c r="C43" s="20" t="s">
        <v>84</v>
      </c>
      <c r="D43" s="19">
        <v>5274</v>
      </c>
      <c r="E43" s="29" t="s">
        <v>105</v>
      </c>
      <c r="F43" s="14">
        <v>13</v>
      </c>
      <c r="G43" s="14">
        <v>8</v>
      </c>
      <c r="H43" s="14">
        <v>6</v>
      </c>
      <c r="I43" s="14">
        <v>38</v>
      </c>
      <c r="J43" s="14">
        <v>51</v>
      </c>
      <c r="K43" s="58"/>
      <c r="L43" s="2">
        <f t="shared" si="0"/>
        <v>63.900000000000006</v>
      </c>
    </row>
    <row r="44" spans="1:12" x14ac:dyDescent="0.25">
      <c r="A44" s="90"/>
      <c r="B44" s="22">
        <v>10</v>
      </c>
      <c r="C44" s="23" t="s">
        <v>85</v>
      </c>
      <c r="D44" s="22">
        <v>4240</v>
      </c>
      <c r="E44" s="50" t="s">
        <v>103</v>
      </c>
      <c r="F44" s="24">
        <v>7</v>
      </c>
      <c r="G44" s="24">
        <v>9</v>
      </c>
      <c r="H44" s="24">
        <v>3</v>
      </c>
      <c r="I44" s="24">
        <v>26</v>
      </c>
      <c r="J44" s="24">
        <v>22</v>
      </c>
      <c r="K44" s="58"/>
      <c r="L44" s="2">
        <f t="shared" si="0"/>
        <v>43.5</v>
      </c>
    </row>
    <row r="45" spans="1:12" x14ac:dyDescent="0.25">
      <c r="A45" s="88" t="s">
        <v>72</v>
      </c>
      <c r="B45" s="19">
        <v>2</v>
      </c>
      <c r="C45" s="20" t="s">
        <v>49</v>
      </c>
      <c r="D45" s="19">
        <v>3611</v>
      </c>
      <c r="E45" s="29" t="s">
        <v>103</v>
      </c>
      <c r="F45" s="14">
        <v>6</v>
      </c>
      <c r="G45" s="14">
        <v>5</v>
      </c>
      <c r="H45" s="14">
        <v>4</v>
      </c>
      <c r="I45" s="14">
        <v>22</v>
      </c>
      <c r="J45" s="14">
        <v>11</v>
      </c>
      <c r="K45" s="58"/>
      <c r="L45" s="2">
        <f t="shared" si="0"/>
        <v>33</v>
      </c>
    </row>
    <row r="46" spans="1:12" x14ac:dyDescent="0.25">
      <c r="A46" s="89"/>
      <c r="B46" s="19">
        <v>3</v>
      </c>
      <c r="C46" s="20" t="s">
        <v>50</v>
      </c>
      <c r="D46" s="19">
        <v>4972</v>
      </c>
      <c r="E46" s="29" t="s">
        <v>35</v>
      </c>
      <c r="F46" s="14">
        <v>15</v>
      </c>
      <c r="G46" s="14">
        <v>17</v>
      </c>
      <c r="H46" s="14">
        <v>2</v>
      </c>
      <c r="I46" s="14">
        <v>44</v>
      </c>
      <c r="J46" s="14">
        <v>27</v>
      </c>
      <c r="K46" s="58"/>
      <c r="L46" s="2">
        <f t="shared" si="0"/>
        <v>74.300000000000011</v>
      </c>
    </row>
    <row r="47" spans="1:12" x14ac:dyDescent="0.25">
      <c r="A47" s="89"/>
      <c r="B47" s="19">
        <v>4</v>
      </c>
      <c r="C47" s="20" t="s">
        <v>51</v>
      </c>
      <c r="D47" s="19">
        <v>3825</v>
      </c>
      <c r="E47" s="29" t="s">
        <v>103</v>
      </c>
      <c r="F47" s="14">
        <v>7</v>
      </c>
      <c r="G47" s="14">
        <v>7</v>
      </c>
      <c r="H47" s="14">
        <v>6</v>
      </c>
      <c r="I47" s="14">
        <v>30</v>
      </c>
      <c r="J47" s="14">
        <v>18</v>
      </c>
      <c r="K47" s="58"/>
      <c r="L47" s="2">
        <f t="shared" si="0"/>
        <v>45.300000000000004</v>
      </c>
    </row>
    <row r="48" spans="1:12" x14ac:dyDescent="0.25">
      <c r="A48" s="89"/>
      <c r="B48" s="19">
        <v>5</v>
      </c>
      <c r="C48" s="20" t="s">
        <v>52</v>
      </c>
      <c r="D48" s="19">
        <v>4051</v>
      </c>
      <c r="E48" s="29" t="s">
        <v>35</v>
      </c>
      <c r="F48" s="14">
        <v>16</v>
      </c>
      <c r="G48" s="14">
        <v>30</v>
      </c>
      <c r="H48" s="14">
        <v>3</v>
      </c>
      <c r="I48" s="14">
        <v>65</v>
      </c>
      <c r="J48" s="14">
        <v>28</v>
      </c>
      <c r="K48" s="58"/>
      <c r="L48" s="2">
        <f t="shared" si="0"/>
        <v>109.19999999999999</v>
      </c>
    </row>
    <row r="49" spans="1:12" x14ac:dyDescent="0.25">
      <c r="A49" s="89"/>
      <c r="B49" s="19">
        <v>6</v>
      </c>
      <c r="C49" s="20" t="s">
        <v>53</v>
      </c>
      <c r="D49" s="19">
        <v>3969</v>
      </c>
      <c r="E49" s="29" t="s">
        <v>105</v>
      </c>
      <c r="F49" s="14">
        <v>6</v>
      </c>
      <c r="G49" s="14">
        <v>5</v>
      </c>
      <c r="H49" s="14">
        <v>5</v>
      </c>
      <c r="I49" s="14">
        <v>23</v>
      </c>
      <c r="J49" s="14">
        <v>21</v>
      </c>
      <c r="K49" s="58"/>
      <c r="L49" s="2">
        <f t="shared" si="0"/>
        <v>36.200000000000003</v>
      </c>
    </row>
    <row r="50" spans="1:12" x14ac:dyDescent="0.25">
      <c r="A50" s="89"/>
      <c r="B50" s="19">
        <v>7</v>
      </c>
      <c r="C50" s="20" t="s">
        <v>54</v>
      </c>
      <c r="D50" s="19">
        <v>4202</v>
      </c>
      <c r="E50" s="29" t="s">
        <v>105</v>
      </c>
      <c r="F50" s="14">
        <v>10</v>
      </c>
      <c r="G50" s="14">
        <v>2</v>
      </c>
      <c r="H50" s="14">
        <v>4</v>
      </c>
      <c r="I50" s="14">
        <v>20</v>
      </c>
      <c r="J50" s="14">
        <v>18</v>
      </c>
      <c r="K50" s="58"/>
      <c r="L50" s="2">
        <f t="shared" si="0"/>
        <v>31.400000000000002</v>
      </c>
    </row>
    <row r="51" spans="1:12" x14ac:dyDescent="0.25">
      <c r="A51" s="89"/>
      <c r="B51" s="19">
        <v>8</v>
      </c>
      <c r="C51" s="20" t="s">
        <v>55</v>
      </c>
      <c r="D51" s="19">
        <v>4268</v>
      </c>
      <c r="E51" s="29" t="s">
        <v>103</v>
      </c>
      <c r="F51" s="14">
        <v>8</v>
      </c>
      <c r="G51" s="14">
        <v>18</v>
      </c>
      <c r="H51" s="14">
        <v>13</v>
      </c>
      <c r="I51" s="14">
        <v>53</v>
      </c>
      <c r="J51" s="14">
        <v>27</v>
      </c>
      <c r="K51" s="58"/>
      <c r="L51" s="2">
        <f t="shared" si="0"/>
        <v>83</v>
      </c>
    </row>
    <row r="52" spans="1:12" x14ac:dyDescent="0.25">
      <c r="A52" s="90"/>
      <c r="B52" s="22">
        <v>9</v>
      </c>
      <c r="C52" s="23" t="s">
        <v>56</v>
      </c>
      <c r="D52" s="22">
        <v>3593</v>
      </c>
      <c r="E52" s="50" t="s">
        <v>103</v>
      </c>
      <c r="F52" s="24">
        <v>10</v>
      </c>
      <c r="G52" s="24">
        <v>11</v>
      </c>
      <c r="H52" s="24">
        <v>7</v>
      </c>
      <c r="I52" s="24">
        <v>36</v>
      </c>
      <c r="J52" s="24">
        <v>22</v>
      </c>
      <c r="K52" s="58"/>
      <c r="L52" s="2">
        <f t="shared" si="0"/>
        <v>57.8</v>
      </c>
    </row>
    <row r="53" spans="1:12" x14ac:dyDescent="0.25">
      <c r="A53" s="88" t="s">
        <v>73</v>
      </c>
      <c r="B53" s="19">
        <v>2</v>
      </c>
      <c r="C53" s="20" t="s">
        <v>57</v>
      </c>
      <c r="D53" s="19">
        <v>3701</v>
      </c>
      <c r="E53" s="29" t="s">
        <v>105</v>
      </c>
      <c r="F53" s="14">
        <v>9</v>
      </c>
      <c r="G53" s="14">
        <v>3</v>
      </c>
      <c r="H53" s="14">
        <v>3</v>
      </c>
      <c r="I53" s="14">
        <v>21</v>
      </c>
      <c r="J53" s="14">
        <v>18</v>
      </c>
      <c r="K53" s="58"/>
      <c r="L53" s="2">
        <f t="shared" si="0"/>
        <v>32.700000000000003</v>
      </c>
    </row>
    <row r="54" spans="1:12" x14ac:dyDescent="0.25">
      <c r="A54" s="89"/>
      <c r="B54" s="19">
        <v>3</v>
      </c>
      <c r="C54" s="20" t="s">
        <v>58</v>
      </c>
      <c r="D54" s="19">
        <v>4148</v>
      </c>
      <c r="E54" s="29" t="s">
        <v>105</v>
      </c>
      <c r="F54" s="14">
        <v>7</v>
      </c>
      <c r="G54" s="14">
        <v>3</v>
      </c>
      <c r="H54" s="14">
        <v>4</v>
      </c>
      <c r="I54" s="14">
        <v>19</v>
      </c>
      <c r="J54" s="14">
        <v>25</v>
      </c>
      <c r="K54" s="58"/>
      <c r="L54" s="2">
        <f t="shared" si="0"/>
        <v>31.3</v>
      </c>
    </row>
    <row r="55" spans="1:12" x14ac:dyDescent="0.25">
      <c r="A55" s="89"/>
      <c r="B55" s="19">
        <v>4</v>
      </c>
      <c r="C55" s="20" t="s">
        <v>59</v>
      </c>
      <c r="D55" s="19">
        <v>3357</v>
      </c>
      <c r="E55" s="29" t="s">
        <v>105</v>
      </c>
      <c r="F55" s="14">
        <v>4</v>
      </c>
      <c r="G55" s="14">
        <v>6</v>
      </c>
      <c r="H55" s="14">
        <v>8</v>
      </c>
      <c r="I55" s="14">
        <v>20</v>
      </c>
      <c r="J55" s="14">
        <v>24</v>
      </c>
      <c r="K55" s="58"/>
      <c r="L55" s="2">
        <f t="shared" si="0"/>
        <v>34.400000000000006</v>
      </c>
    </row>
    <row r="56" spans="1:12" x14ac:dyDescent="0.25">
      <c r="A56" s="89"/>
      <c r="B56" s="19">
        <v>5</v>
      </c>
      <c r="C56" s="20" t="s">
        <v>60</v>
      </c>
      <c r="D56" s="19">
        <v>4412</v>
      </c>
      <c r="E56" s="29" t="s">
        <v>105</v>
      </c>
      <c r="F56" s="14">
        <v>7</v>
      </c>
      <c r="G56" s="14">
        <v>2</v>
      </c>
      <c r="H56" s="14">
        <v>4</v>
      </c>
      <c r="I56" s="14">
        <v>13</v>
      </c>
      <c r="J56" s="14">
        <v>27</v>
      </c>
      <c r="K56" s="58"/>
      <c r="L56" s="2">
        <f t="shared" si="0"/>
        <v>24.700000000000003</v>
      </c>
    </row>
    <row r="57" spans="1:12" x14ac:dyDescent="0.25">
      <c r="A57" s="89"/>
      <c r="B57" s="19">
        <v>7</v>
      </c>
      <c r="C57" s="20" t="s">
        <v>61</v>
      </c>
      <c r="D57" s="19">
        <v>3871</v>
      </c>
      <c r="E57" s="29" t="s">
        <v>105</v>
      </c>
      <c r="F57" s="14">
        <v>7</v>
      </c>
      <c r="G57" s="14">
        <v>11</v>
      </c>
      <c r="H57" s="14">
        <v>9</v>
      </c>
      <c r="I57" s="14">
        <v>32</v>
      </c>
      <c r="J57" s="14">
        <v>35</v>
      </c>
      <c r="K57" s="58"/>
      <c r="L57" s="2">
        <f t="shared" si="0"/>
        <v>55.3</v>
      </c>
    </row>
    <row r="58" spans="1:12" x14ac:dyDescent="0.25">
      <c r="A58" s="89"/>
      <c r="B58" s="19">
        <v>8</v>
      </c>
      <c r="C58" s="20" t="s">
        <v>62</v>
      </c>
      <c r="D58" s="19">
        <v>4292</v>
      </c>
      <c r="E58" s="29" t="s">
        <v>105</v>
      </c>
      <c r="F58" s="14">
        <v>8</v>
      </c>
      <c r="G58" s="14">
        <v>19</v>
      </c>
      <c r="H58" s="14">
        <v>5</v>
      </c>
      <c r="I58" s="14">
        <v>45</v>
      </c>
      <c r="J58" s="14">
        <v>38</v>
      </c>
      <c r="K58" s="58"/>
      <c r="L58" s="2">
        <f t="shared" si="0"/>
        <v>76.599999999999994</v>
      </c>
    </row>
    <row r="59" spans="1:12" x14ac:dyDescent="0.25">
      <c r="A59" s="90"/>
      <c r="B59" s="22">
        <v>9</v>
      </c>
      <c r="C59" s="23" t="s">
        <v>63</v>
      </c>
      <c r="D59" s="22">
        <v>3593</v>
      </c>
      <c r="E59" s="50" t="s">
        <v>105</v>
      </c>
      <c r="F59" s="24">
        <v>6</v>
      </c>
      <c r="G59" s="24">
        <v>6</v>
      </c>
      <c r="H59" s="24">
        <v>7</v>
      </c>
      <c r="I59" s="24">
        <v>28</v>
      </c>
      <c r="J59" s="24">
        <v>22</v>
      </c>
      <c r="K59" s="58"/>
      <c r="L59" s="2">
        <f t="shared" si="0"/>
        <v>42.8</v>
      </c>
    </row>
    <row r="60" spans="1:12" x14ac:dyDescent="0.25">
      <c r="A60" s="88" t="s">
        <v>74</v>
      </c>
      <c r="B60" s="19">
        <v>2</v>
      </c>
      <c r="C60" s="20" t="s">
        <v>75</v>
      </c>
      <c r="D60" s="19">
        <v>3966</v>
      </c>
      <c r="E60" s="29" t="s">
        <v>105</v>
      </c>
      <c r="F60" s="14">
        <v>8</v>
      </c>
      <c r="G60" s="14">
        <v>12</v>
      </c>
      <c r="H60" s="14">
        <v>10</v>
      </c>
      <c r="I60" s="14">
        <v>40</v>
      </c>
      <c r="J60" s="14">
        <v>17</v>
      </c>
      <c r="K60" s="58"/>
      <c r="L60" s="2">
        <f t="shared" si="0"/>
        <v>61.4</v>
      </c>
    </row>
    <row r="61" spans="1:12" x14ac:dyDescent="0.25">
      <c r="A61" s="89"/>
      <c r="B61" s="19">
        <v>4</v>
      </c>
      <c r="C61" s="20" t="s">
        <v>76</v>
      </c>
      <c r="D61" s="19">
        <v>3568</v>
      </c>
      <c r="E61" s="29" t="s">
        <v>103</v>
      </c>
      <c r="F61" s="14">
        <v>8</v>
      </c>
      <c r="G61" s="14">
        <v>2</v>
      </c>
      <c r="H61" s="14">
        <v>5</v>
      </c>
      <c r="I61" s="14">
        <v>29</v>
      </c>
      <c r="J61" s="14">
        <v>16</v>
      </c>
      <c r="K61" s="58"/>
      <c r="L61" s="2">
        <f t="shared" si="0"/>
        <v>39.200000000000003</v>
      </c>
    </row>
    <row r="62" spans="1:12" x14ac:dyDescent="0.25">
      <c r="A62" s="89"/>
      <c r="B62" s="19">
        <v>7</v>
      </c>
      <c r="C62" s="20" t="s">
        <v>77</v>
      </c>
      <c r="D62" s="19">
        <v>5012</v>
      </c>
      <c r="E62" s="29" t="s">
        <v>16</v>
      </c>
      <c r="F62" s="14">
        <v>17</v>
      </c>
      <c r="G62" s="14">
        <v>6</v>
      </c>
      <c r="H62" s="14">
        <v>4</v>
      </c>
      <c r="I62" s="14">
        <v>44</v>
      </c>
      <c r="J62" s="14">
        <v>31</v>
      </c>
      <c r="K62" s="58"/>
      <c r="L62" s="2">
        <f t="shared" si="0"/>
        <v>65.5</v>
      </c>
    </row>
    <row r="63" spans="1:12" x14ac:dyDescent="0.25">
      <c r="A63" s="89"/>
      <c r="B63" s="19">
        <v>9</v>
      </c>
      <c r="C63" s="20" t="s">
        <v>78</v>
      </c>
      <c r="D63" s="19">
        <v>4133</v>
      </c>
      <c r="E63" s="29" t="s">
        <v>103</v>
      </c>
      <c r="F63" s="14">
        <v>8</v>
      </c>
      <c r="G63" s="14">
        <v>17</v>
      </c>
      <c r="H63" s="14">
        <v>6</v>
      </c>
      <c r="I63" s="14">
        <v>49</v>
      </c>
      <c r="J63" s="14">
        <v>13</v>
      </c>
      <c r="K63" s="58"/>
      <c r="L63" s="2">
        <f t="shared" si="0"/>
        <v>73.8</v>
      </c>
    </row>
    <row r="64" spans="1:12" x14ac:dyDescent="0.25">
      <c r="A64" s="89"/>
      <c r="B64" s="19">
        <v>10</v>
      </c>
      <c r="C64" s="20" t="s">
        <v>79</v>
      </c>
      <c r="D64" s="19">
        <v>3345</v>
      </c>
      <c r="E64" s="29" t="s">
        <v>16</v>
      </c>
      <c r="F64" s="14">
        <v>6</v>
      </c>
      <c r="G64" s="14">
        <v>19</v>
      </c>
      <c r="H64" s="14">
        <v>7</v>
      </c>
      <c r="I64" s="14">
        <v>51</v>
      </c>
      <c r="J64" s="14">
        <v>15</v>
      </c>
      <c r="K64" s="58"/>
      <c r="L64" s="2">
        <f t="shared" si="0"/>
        <v>77.400000000000006</v>
      </c>
    </row>
    <row r="65" spans="1:12" x14ac:dyDescent="0.25">
      <c r="A65" s="89"/>
      <c r="B65" s="19">
        <v>11</v>
      </c>
      <c r="C65" s="20" t="s">
        <v>80</v>
      </c>
      <c r="D65" s="19">
        <v>3490</v>
      </c>
      <c r="E65" s="29" t="s">
        <v>103</v>
      </c>
      <c r="F65" s="14">
        <v>6</v>
      </c>
      <c r="G65" s="14">
        <v>3</v>
      </c>
      <c r="H65" s="14">
        <v>2</v>
      </c>
      <c r="I65" s="14">
        <v>26</v>
      </c>
      <c r="J65" s="14">
        <v>14</v>
      </c>
      <c r="K65" s="58"/>
      <c r="L65" s="2">
        <f t="shared" si="0"/>
        <v>35.199999999999996</v>
      </c>
    </row>
    <row r="66" spans="1:12" x14ac:dyDescent="0.25">
      <c r="A66" s="90"/>
      <c r="B66" s="22">
        <v>12</v>
      </c>
      <c r="C66" s="23" t="s">
        <v>81</v>
      </c>
      <c r="D66" s="22">
        <v>3376</v>
      </c>
      <c r="E66" s="50" t="s">
        <v>105</v>
      </c>
      <c r="F66" s="24">
        <v>6</v>
      </c>
      <c r="G66" s="24">
        <v>3</v>
      </c>
      <c r="H66" s="24">
        <v>5</v>
      </c>
      <c r="I66" s="24">
        <v>16</v>
      </c>
      <c r="J66" s="24">
        <v>21</v>
      </c>
      <c r="K66" s="58"/>
      <c r="L66" s="2">
        <f t="shared" si="0"/>
        <v>27.2</v>
      </c>
    </row>
    <row r="67" spans="1:12" x14ac:dyDescent="0.25">
      <c r="A67" s="65"/>
      <c r="B67" s="61"/>
      <c r="C67" s="62"/>
      <c r="D67" s="63"/>
      <c r="E67" s="64"/>
      <c r="F67" s="62"/>
      <c r="G67" s="66"/>
      <c r="H67" s="67"/>
      <c r="I67" s="68"/>
      <c r="J67" s="56" t="s">
        <v>112</v>
      </c>
      <c r="K67" s="59"/>
      <c r="L67" s="2">
        <f>MIN(L2:L66)</f>
        <v>19.399999999999999</v>
      </c>
    </row>
    <row r="68" spans="1:12" x14ac:dyDescent="0.25">
      <c r="I68" s="60"/>
      <c r="J68" s="71" t="s">
        <v>113</v>
      </c>
      <c r="K68" s="69"/>
      <c r="L68" s="2">
        <f>MAX(L2:L67)</f>
        <v>114.7</v>
      </c>
    </row>
    <row r="69" spans="1:12" x14ac:dyDescent="0.25">
      <c r="I69" s="60"/>
      <c r="J69" s="71" t="s">
        <v>114</v>
      </c>
      <c r="K69" s="69"/>
      <c r="L69" s="2">
        <f>AVERAGE(L2:L66)</f>
        <v>47.975384615384627</v>
      </c>
    </row>
    <row r="70" spans="1:12" x14ac:dyDescent="0.25">
      <c r="J70" s="71" t="s">
        <v>115</v>
      </c>
      <c r="K70" s="69"/>
      <c r="L70" s="2">
        <f>MEDIAN(L2:L66)</f>
        <v>42.8</v>
      </c>
    </row>
  </sheetData>
  <mergeCells count="10">
    <mergeCell ref="A36:A44"/>
    <mergeCell ref="A45:A52"/>
    <mergeCell ref="A53:A59"/>
    <mergeCell ref="A60:A66"/>
    <mergeCell ref="A2:A6"/>
    <mergeCell ref="A7:A10"/>
    <mergeCell ref="A11:A18"/>
    <mergeCell ref="A19:A23"/>
    <mergeCell ref="A24:A29"/>
    <mergeCell ref="A30:A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7"/>
  <sheetViews>
    <sheetView zoomScaleNormal="100" workbookViewId="0">
      <selection activeCell="V33" sqref="V33"/>
    </sheetView>
  </sheetViews>
  <sheetFormatPr defaultRowHeight="15" x14ac:dyDescent="0.25"/>
  <cols>
    <col min="1" max="1" width="12.5703125" style="6" customWidth="1"/>
    <col min="2" max="2" width="3.5703125" style="5" bestFit="1" customWidth="1"/>
    <col min="3" max="3" width="17" customWidth="1"/>
    <col min="4" max="4" width="5" style="1" hidden="1" customWidth="1"/>
    <col min="5" max="5" width="5" style="52" customWidth="1"/>
    <col min="6" max="10" width="2.7109375" customWidth="1"/>
    <col min="11" max="11" width="0.85546875" style="35" customWidth="1"/>
    <col min="12" max="12" width="5.5703125" style="3" bestFit="1" customWidth="1"/>
    <col min="13" max="13" width="5.42578125" style="3" bestFit="1" customWidth="1"/>
    <col min="14" max="14" width="4.85546875" style="1" bestFit="1" customWidth="1"/>
    <col min="15" max="15" width="5.42578125" style="1" bestFit="1" customWidth="1"/>
    <col min="16" max="16" width="4.85546875" style="1" bestFit="1" customWidth="1"/>
    <col min="17" max="17" width="5.42578125" style="4" bestFit="1" customWidth="1"/>
  </cols>
  <sheetData>
    <row r="1" spans="1:17" ht="231" x14ac:dyDescent="0.25">
      <c r="A1" s="30" t="s">
        <v>107</v>
      </c>
      <c r="B1" s="7" t="s">
        <v>68</v>
      </c>
      <c r="C1" s="36" t="s">
        <v>0</v>
      </c>
      <c r="D1" s="8" t="s">
        <v>1</v>
      </c>
      <c r="E1" s="4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9" t="s">
        <v>7</v>
      </c>
      <c r="K1" s="31"/>
      <c r="L1" s="10" t="s">
        <v>106</v>
      </c>
      <c r="M1" s="10" t="s">
        <v>102</v>
      </c>
      <c r="N1" s="8" t="s">
        <v>99</v>
      </c>
      <c r="O1" s="8" t="s">
        <v>100</v>
      </c>
      <c r="P1" s="8" t="s">
        <v>86</v>
      </c>
      <c r="Q1" s="11" t="s">
        <v>98</v>
      </c>
    </row>
    <row r="2" spans="1:17" x14ac:dyDescent="0.25">
      <c r="A2" s="91" t="s">
        <v>64</v>
      </c>
      <c r="B2" s="12">
        <v>2</v>
      </c>
      <c r="C2" s="13" t="s">
        <v>8</v>
      </c>
      <c r="D2" s="12">
        <v>3826</v>
      </c>
      <c r="E2" s="49" t="s">
        <v>103</v>
      </c>
      <c r="F2" s="14">
        <v>11</v>
      </c>
      <c r="G2" s="14">
        <v>3</v>
      </c>
      <c r="H2" s="14">
        <v>11</v>
      </c>
      <c r="I2" s="14">
        <v>32</v>
      </c>
      <c r="J2" s="14">
        <v>24</v>
      </c>
      <c r="K2" s="32"/>
      <c r="L2" s="15">
        <v>100</v>
      </c>
      <c r="M2" s="15">
        <v>100</v>
      </c>
      <c r="N2" s="16" t="s">
        <v>88</v>
      </c>
      <c r="O2" s="15">
        <v>100</v>
      </c>
      <c r="P2" s="17" t="s">
        <v>87</v>
      </c>
      <c r="Q2" s="18">
        <v>100</v>
      </c>
    </row>
    <row r="3" spans="1:17" x14ac:dyDescent="0.25">
      <c r="A3" s="92"/>
      <c r="B3" s="19">
        <v>3</v>
      </c>
      <c r="C3" s="20" t="s">
        <v>9</v>
      </c>
      <c r="D3" s="19">
        <v>4808</v>
      </c>
      <c r="E3" s="29" t="s">
        <v>104</v>
      </c>
      <c r="F3" s="14">
        <v>11</v>
      </c>
      <c r="G3" s="14">
        <v>11</v>
      </c>
      <c r="H3" s="14">
        <v>1</v>
      </c>
      <c r="I3" s="14">
        <v>32</v>
      </c>
      <c r="J3" s="14">
        <v>27</v>
      </c>
      <c r="K3" s="33"/>
      <c r="L3" s="15">
        <v>100</v>
      </c>
      <c r="M3" s="15">
        <v>100</v>
      </c>
      <c r="N3" s="16" t="s">
        <v>88</v>
      </c>
      <c r="O3" s="15">
        <v>100</v>
      </c>
      <c r="P3" s="17" t="s">
        <v>88</v>
      </c>
      <c r="Q3" s="21">
        <v>100</v>
      </c>
    </row>
    <row r="4" spans="1:17" x14ac:dyDescent="0.25">
      <c r="A4" s="92"/>
      <c r="B4" s="19">
        <v>4</v>
      </c>
      <c r="C4" s="20" t="s">
        <v>10</v>
      </c>
      <c r="D4" s="19">
        <v>4762</v>
      </c>
      <c r="E4" s="29" t="s">
        <v>104</v>
      </c>
      <c r="F4" s="14">
        <v>9</v>
      </c>
      <c r="G4" s="14">
        <v>3</v>
      </c>
      <c r="H4" s="14">
        <v>7</v>
      </c>
      <c r="I4" s="14">
        <v>26</v>
      </c>
      <c r="J4" s="14">
        <v>26</v>
      </c>
      <c r="K4" s="33"/>
      <c r="L4" s="15">
        <v>100</v>
      </c>
      <c r="M4" s="15">
        <v>100</v>
      </c>
      <c r="N4" s="16" t="s">
        <v>88</v>
      </c>
      <c r="O4" s="15">
        <v>100</v>
      </c>
      <c r="P4" s="17" t="s">
        <v>89</v>
      </c>
      <c r="Q4" s="21">
        <v>100</v>
      </c>
    </row>
    <row r="5" spans="1:17" x14ac:dyDescent="0.25">
      <c r="A5" s="92"/>
      <c r="B5" s="19">
        <v>5</v>
      </c>
      <c r="C5" s="20" t="s">
        <v>11</v>
      </c>
      <c r="D5" s="19">
        <v>4378</v>
      </c>
      <c r="E5" s="29" t="s">
        <v>104</v>
      </c>
      <c r="F5" s="14">
        <v>8</v>
      </c>
      <c r="G5" s="14">
        <v>12</v>
      </c>
      <c r="H5" s="14">
        <v>5</v>
      </c>
      <c r="I5" s="14">
        <v>33</v>
      </c>
      <c r="J5" s="14">
        <v>27</v>
      </c>
      <c r="K5" s="33"/>
      <c r="L5" s="15">
        <v>100</v>
      </c>
      <c r="M5" s="15">
        <v>100</v>
      </c>
      <c r="N5" s="16" t="s">
        <v>88</v>
      </c>
      <c r="O5" s="15">
        <v>100</v>
      </c>
      <c r="P5" s="17" t="s">
        <v>88</v>
      </c>
      <c r="Q5" s="21">
        <v>100</v>
      </c>
    </row>
    <row r="6" spans="1:17" x14ac:dyDescent="0.25">
      <c r="A6" s="93"/>
      <c r="B6" s="22">
        <v>6</v>
      </c>
      <c r="C6" s="23" t="s">
        <v>12</v>
      </c>
      <c r="D6" s="22">
        <v>4408</v>
      </c>
      <c r="E6" s="50" t="s">
        <v>103</v>
      </c>
      <c r="F6" s="24">
        <v>7</v>
      </c>
      <c r="G6" s="24">
        <v>14</v>
      </c>
      <c r="H6" s="24">
        <v>4</v>
      </c>
      <c r="I6" s="24">
        <v>32</v>
      </c>
      <c r="J6" s="24">
        <v>21</v>
      </c>
      <c r="K6" s="34"/>
      <c r="L6" s="25">
        <v>100</v>
      </c>
      <c r="M6" s="25">
        <v>100</v>
      </c>
      <c r="N6" s="86" t="s">
        <v>101</v>
      </c>
      <c r="O6" s="87">
        <v>75</v>
      </c>
      <c r="P6" s="26" t="s">
        <v>90</v>
      </c>
      <c r="Q6" s="27">
        <v>100</v>
      </c>
    </row>
    <row r="7" spans="1:17" x14ac:dyDescent="0.25">
      <c r="A7" s="88" t="s">
        <v>65</v>
      </c>
      <c r="B7" s="19">
        <v>2</v>
      </c>
      <c r="C7" s="20" t="s">
        <v>13</v>
      </c>
      <c r="D7" s="19">
        <v>3752</v>
      </c>
      <c r="E7" s="29" t="s">
        <v>105</v>
      </c>
      <c r="F7" s="14">
        <v>8</v>
      </c>
      <c r="G7" s="14">
        <v>3</v>
      </c>
      <c r="H7" s="14">
        <v>5</v>
      </c>
      <c r="I7" s="14">
        <v>21</v>
      </c>
      <c r="J7" s="14">
        <v>17</v>
      </c>
      <c r="K7" s="33"/>
      <c r="L7" s="15">
        <v>100</v>
      </c>
      <c r="M7" s="15">
        <v>100</v>
      </c>
      <c r="N7" s="16" t="s">
        <v>89</v>
      </c>
      <c r="O7" s="15">
        <v>100</v>
      </c>
      <c r="P7" s="17" t="s">
        <v>88</v>
      </c>
      <c r="Q7" s="21">
        <v>100</v>
      </c>
    </row>
    <row r="8" spans="1:17" x14ac:dyDescent="0.25">
      <c r="A8" s="89"/>
      <c r="B8" s="19">
        <v>3</v>
      </c>
      <c r="C8" s="20" t="s">
        <v>14</v>
      </c>
      <c r="D8" s="19">
        <v>3613</v>
      </c>
      <c r="E8" s="29" t="s">
        <v>105</v>
      </c>
      <c r="F8" s="14">
        <v>9</v>
      </c>
      <c r="G8" s="14">
        <v>1</v>
      </c>
      <c r="H8" s="14">
        <v>5</v>
      </c>
      <c r="I8" s="14">
        <v>17</v>
      </c>
      <c r="J8" s="14">
        <v>23</v>
      </c>
      <c r="K8" s="33"/>
      <c r="L8" s="15">
        <v>100</v>
      </c>
      <c r="M8" s="15">
        <v>100</v>
      </c>
      <c r="N8" s="16" t="s">
        <v>89</v>
      </c>
      <c r="O8" s="15">
        <v>100</v>
      </c>
      <c r="P8" s="17" t="s">
        <v>90</v>
      </c>
      <c r="Q8" s="21">
        <v>100</v>
      </c>
    </row>
    <row r="9" spans="1:17" x14ac:dyDescent="0.25">
      <c r="A9" s="89"/>
      <c r="B9" s="19">
        <v>4</v>
      </c>
      <c r="C9" s="20" t="s">
        <v>15</v>
      </c>
      <c r="D9" s="19">
        <v>4078</v>
      </c>
      <c r="E9" s="29" t="s">
        <v>104</v>
      </c>
      <c r="F9" s="14">
        <v>8</v>
      </c>
      <c r="G9" s="14">
        <v>5</v>
      </c>
      <c r="H9" s="14">
        <v>8</v>
      </c>
      <c r="I9" s="14">
        <v>29</v>
      </c>
      <c r="J9" s="14">
        <v>23</v>
      </c>
      <c r="K9" s="33"/>
      <c r="L9" s="15">
        <v>100</v>
      </c>
      <c r="M9" s="15">
        <v>100</v>
      </c>
      <c r="N9" s="16" t="s">
        <v>88</v>
      </c>
      <c r="O9" s="15">
        <v>100</v>
      </c>
      <c r="P9" s="17" t="s">
        <v>90</v>
      </c>
      <c r="Q9" s="21">
        <v>100</v>
      </c>
    </row>
    <row r="10" spans="1:17" x14ac:dyDescent="0.25">
      <c r="A10" s="90"/>
      <c r="B10" s="22">
        <v>6</v>
      </c>
      <c r="C10" s="23" t="s">
        <v>17</v>
      </c>
      <c r="D10" s="22">
        <v>3314</v>
      </c>
      <c r="E10" s="50" t="s">
        <v>103</v>
      </c>
      <c r="F10" s="24">
        <v>9</v>
      </c>
      <c r="G10" s="24">
        <v>4</v>
      </c>
      <c r="H10" s="24">
        <v>4</v>
      </c>
      <c r="I10" s="24">
        <v>25</v>
      </c>
      <c r="J10" s="24">
        <v>14</v>
      </c>
      <c r="K10" s="34"/>
      <c r="L10" s="25">
        <v>100</v>
      </c>
      <c r="M10" s="25">
        <v>100</v>
      </c>
      <c r="N10" s="28" t="s">
        <v>88</v>
      </c>
      <c r="O10" s="25">
        <v>100</v>
      </c>
      <c r="P10" s="26" t="s">
        <v>91</v>
      </c>
      <c r="Q10" s="27">
        <v>100</v>
      </c>
    </row>
    <row r="11" spans="1:17" x14ac:dyDescent="0.25">
      <c r="A11" s="88" t="s">
        <v>66</v>
      </c>
      <c r="B11" s="19">
        <v>2</v>
      </c>
      <c r="C11" s="20" t="s">
        <v>18</v>
      </c>
      <c r="D11" s="19">
        <v>4826</v>
      </c>
      <c r="E11" s="29" t="s">
        <v>103</v>
      </c>
      <c r="F11" s="14">
        <v>9</v>
      </c>
      <c r="G11" s="14">
        <v>3</v>
      </c>
      <c r="H11" s="14">
        <v>11</v>
      </c>
      <c r="I11" s="14">
        <v>39</v>
      </c>
      <c r="J11" s="14">
        <v>30</v>
      </c>
      <c r="K11" s="33"/>
      <c r="L11" s="15">
        <v>100</v>
      </c>
      <c r="M11" s="15">
        <v>100</v>
      </c>
      <c r="N11" s="16" t="s">
        <v>88</v>
      </c>
      <c r="O11" s="15">
        <v>100</v>
      </c>
      <c r="P11" s="17" t="s">
        <v>92</v>
      </c>
      <c r="Q11" s="21">
        <v>100</v>
      </c>
    </row>
    <row r="12" spans="1:17" x14ac:dyDescent="0.25">
      <c r="A12" s="89"/>
      <c r="B12" s="19">
        <v>3</v>
      </c>
      <c r="C12" s="20" t="s">
        <v>19</v>
      </c>
      <c r="D12" s="19">
        <v>4339</v>
      </c>
      <c r="E12" s="29" t="s">
        <v>105</v>
      </c>
      <c r="F12" s="14">
        <v>5</v>
      </c>
      <c r="G12" s="14">
        <v>3</v>
      </c>
      <c r="H12" s="14">
        <v>2</v>
      </c>
      <c r="I12" s="14">
        <v>13</v>
      </c>
      <c r="J12" s="14">
        <v>15</v>
      </c>
      <c r="K12" s="33"/>
      <c r="L12" s="15">
        <v>100</v>
      </c>
      <c r="M12" s="15">
        <v>100</v>
      </c>
      <c r="N12" s="16" t="s">
        <v>89</v>
      </c>
      <c r="O12" s="15">
        <v>100</v>
      </c>
      <c r="P12" s="17" t="s">
        <v>89</v>
      </c>
      <c r="Q12" s="21">
        <v>100</v>
      </c>
    </row>
    <row r="13" spans="1:17" x14ac:dyDescent="0.25">
      <c r="A13" s="89"/>
      <c r="B13" s="19">
        <v>4</v>
      </c>
      <c r="C13" s="20" t="s">
        <v>20</v>
      </c>
      <c r="D13" s="19">
        <v>4525</v>
      </c>
      <c r="E13" s="29" t="s">
        <v>105</v>
      </c>
      <c r="F13" s="14">
        <v>11</v>
      </c>
      <c r="G13" s="14">
        <v>19</v>
      </c>
      <c r="H13" s="14">
        <v>11</v>
      </c>
      <c r="I13" s="14">
        <v>47</v>
      </c>
      <c r="J13" s="14">
        <v>38</v>
      </c>
      <c r="K13" s="33"/>
      <c r="L13" s="15">
        <v>100</v>
      </c>
      <c r="M13" s="15">
        <v>100</v>
      </c>
      <c r="N13" s="16" t="s">
        <v>89</v>
      </c>
      <c r="O13" s="15">
        <v>100</v>
      </c>
      <c r="P13" s="17" t="s">
        <v>89</v>
      </c>
      <c r="Q13" s="21">
        <v>100</v>
      </c>
    </row>
    <row r="14" spans="1:17" x14ac:dyDescent="0.25">
      <c r="A14" s="89"/>
      <c r="B14" s="19">
        <v>5</v>
      </c>
      <c r="C14" s="20" t="s">
        <v>21</v>
      </c>
      <c r="D14" s="19">
        <v>4599</v>
      </c>
      <c r="E14" s="29" t="s">
        <v>105</v>
      </c>
      <c r="F14" s="14">
        <v>11</v>
      </c>
      <c r="G14" s="14">
        <v>4</v>
      </c>
      <c r="H14" s="14">
        <v>7</v>
      </c>
      <c r="I14" s="14">
        <v>27</v>
      </c>
      <c r="J14" s="14">
        <v>21</v>
      </c>
      <c r="K14" s="33"/>
      <c r="L14" s="15">
        <v>100</v>
      </c>
      <c r="M14" s="15">
        <v>100</v>
      </c>
      <c r="N14" s="16" t="s">
        <v>89</v>
      </c>
      <c r="O14" s="15">
        <v>100</v>
      </c>
      <c r="P14" s="17" t="s">
        <v>89</v>
      </c>
      <c r="Q14" s="21">
        <v>100</v>
      </c>
    </row>
    <row r="15" spans="1:17" x14ac:dyDescent="0.25">
      <c r="A15" s="89"/>
      <c r="B15" s="19">
        <v>6</v>
      </c>
      <c r="C15" s="20" t="s">
        <v>22</v>
      </c>
      <c r="D15" s="19">
        <v>5368</v>
      </c>
      <c r="E15" s="29" t="s">
        <v>105</v>
      </c>
      <c r="F15" s="14">
        <v>10</v>
      </c>
      <c r="G15" s="14">
        <v>17</v>
      </c>
      <c r="H15" s="14">
        <v>9</v>
      </c>
      <c r="I15" s="14">
        <v>49</v>
      </c>
      <c r="J15" s="14">
        <v>32</v>
      </c>
      <c r="K15" s="33"/>
      <c r="L15" s="15">
        <v>100</v>
      </c>
      <c r="M15" s="15">
        <v>100</v>
      </c>
      <c r="N15" s="73" t="s">
        <v>95</v>
      </c>
      <c r="O15" s="72">
        <v>100</v>
      </c>
      <c r="P15" s="17" t="s">
        <v>88</v>
      </c>
      <c r="Q15" s="21">
        <v>100</v>
      </c>
    </row>
    <row r="16" spans="1:17" x14ac:dyDescent="0.25">
      <c r="A16" s="89"/>
      <c r="B16" s="19">
        <v>7</v>
      </c>
      <c r="C16" s="20" t="s">
        <v>23</v>
      </c>
      <c r="D16" s="19">
        <v>3975</v>
      </c>
      <c r="E16" s="29" t="s">
        <v>105</v>
      </c>
      <c r="F16" s="14">
        <v>10</v>
      </c>
      <c r="G16" s="14">
        <v>14</v>
      </c>
      <c r="H16" s="14">
        <v>20</v>
      </c>
      <c r="I16" s="14">
        <v>52</v>
      </c>
      <c r="J16" s="14">
        <v>30</v>
      </c>
      <c r="K16" s="33"/>
      <c r="L16" s="15">
        <v>100</v>
      </c>
      <c r="M16" s="15">
        <v>100</v>
      </c>
      <c r="N16" s="16" t="s">
        <v>89</v>
      </c>
      <c r="O16" s="15">
        <v>100</v>
      </c>
      <c r="P16" s="17" t="s">
        <v>90</v>
      </c>
      <c r="Q16" s="21">
        <v>100</v>
      </c>
    </row>
    <row r="17" spans="1:17" x14ac:dyDescent="0.25">
      <c r="A17" s="89"/>
      <c r="B17" s="19">
        <v>8</v>
      </c>
      <c r="C17" s="20" t="s">
        <v>24</v>
      </c>
      <c r="D17" s="19">
        <v>4370</v>
      </c>
      <c r="E17" s="29" t="s">
        <v>103</v>
      </c>
      <c r="F17" s="14">
        <v>9</v>
      </c>
      <c r="G17" s="14">
        <v>5</v>
      </c>
      <c r="H17" s="14">
        <v>1</v>
      </c>
      <c r="I17" s="14">
        <v>23</v>
      </c>
      <c r="J17" s="14">
        <v>15</v>
      </c>
      <c r="K17" s="33"/>
      <c r="L17" s="15">
        <v>100</v>
      </c>
      <c r="M17" s="15">
        <v>100</v>
      </c>
      <c r="N17" s="16" t="s">
        <v>88</v>
      </c>
      <c r="O17" s="15">
        <v>100</v>
      </c>
      <c r="P17" s="17" t="s">
        <v>89</v>
      </c>
      <c r="Q17" s="21">
        <v>100</v>
      </c>
    </row>
    <row r="18" spans="1:17" x14ac:dyDescent="0.25">
      <c r="A18" s="90"/>
      <c r="B18" s="22">
        <v>9</v>
      </c>
      <c r="C18" s="23" t="s">
        <v>25</v>
      </c>
      <c r="D18" s="22">
        <v>3918</v>
      </c>
      <c r="E18" s="50" t="s">
        <v>105</v>
      </c>
      <c r="F18" s="24">
        <v>6</v>
      </c>
      <c r="G18" s="24">
        <v>6</v>
      </c>
      <c r="H18" s="24">
        <v>3</v>
      </c>
      <c r="I18" s="24">
        <v>21</v>
      </c>
      <c r="J18" s="24">
        <v>15</v>
      </c>
      <c r="K18" s="34"/>
      <c r="L18" s="25">
        <v>100</v>
      </c>
      <c r="M18" s="25">
        <v>100</v>
      </c>
      <c r="N18" s="28" t="s">
        <v>89</v>
      </c>
      <c r="O18" s="25">
        <v>100</v>
      </c>
      <c r="P18" s="26" t="s">
        <v>89</v>
      </c>
      <c r="Q18" s="27">
        <v>100</v>
      </c>
    </row>
    <row r="19" spans="1:17" x14ac:dyDescent="0.25">
      <c r="A19" s="88" t="s">
        <v>67</v>
      </c>
      <c r="B19" s="19">
        <v>2</v>
      </c>
      <c r="C19" s="20" t="s">
        <v>26</v>
      </c>
      <c r="D19" s="19">
        <v>5415</v>
      </c>
      <c r="E19" s="29" t="s">
        <v>105</v>
      </c>
      <c r="F19" s="14">
        <v>13</v>
      </c>
      <c r="G19" s="14">
        <v>26</v>
      </c>
      <c r="H19" s="14">
        <v>14</v>
      </c>
      <c r="I19" s="14">
        <v>68</v>
      </c>
      <c r="J19" s="14">
        <v>57</v>
      </c>
      <c r="K19" s="33"/>
      <c r="L19" s="15">
        <v>100</v>
      </c>
      <c r="M19" s="15">
        <v>100</v>
      </c>
      <c r="N19" s="16" t="s">
        <v>89</v>
      </c>
      <c r="O19" s="15">
        <v>100</v>
      </c>
      <c r="P19" s="17" t="s">
        <v>87</v>
      </c>
      <c r="Q19" s="21">
        <v>100</v>
      </c>
    </row>
    <row r="20" spans="1:17" x14ac:dyDescent="0.25">
      <c r="A20" s="89"/>
      <c r="B20" s="19">
        <v>3</v>
      </c>
      <c r="C20" s="20" t="s">
        <v>27</v>
      </c>
      <c r="D20" s="19">
        <v>4698</v>
      </c>
      <c r="E20" s="29" t="s">
        <v>103</v>
      </c>
      <c r="F20" s="14">
        <v>20</v>
      </c>
      <c r="G20" s="14">
        <v>29</v>
      </c>
      <c r="H20" s="14">
        <v>2</v>
      </c>
      <c r="I20" s="14">
        <v>5</v>
      </c>
      <c r="J20" s="14">
        <v>3</v>
      </c>
      <c r="K20" s="33"/>
      <c r="L20" s="15">
        <v>100</v>
      </c>
      <c r="M20" s="72">
        <v>100</v>
      </c>
      <c r="N20" s="73" t="s">
        <v>88</v>
      </c>
      <c r="O20" s="72">
        <v>100</v>
      </c>
      <c r="P20" s="74" t="s">
        <v>90</v>
      </c>
      <c r="Q20" s="75">
        <v>100</v>
      </c>
    </row>
    <row r="21" spans="1:17" x14ac:dyDescent="0.25">
      <c r="A21" s="89"/>
      <c r="B21" s="19">
        <v>4</v>
      </c>
      <c r="C21" s="20" t="s">
        <v>28</v>
      </c>
      <c r="D21" s="19">
        <v>4373</v>
      </c>
      <c r="E21" s="29" t="s">
        <v>105</v>
      </c>
      <c r="F21" s="14">
        <v>14</v>
      </c>
      <c r="G21" s="14">
        <v>5</v>
      </c>
      <c r="H21" s="14">
        <v>5</v>
      </c>
      <c r="I21" s="14">
        <v>3</v>
      </c>
      <c r="J21" s="14">
        <v>17</v>
      </c>
      <c r="K21" s="33"/>
      <c r="L21" s="15">
        <v>100</v>
      </c>
      <c r="M21" s="72">
        <v>100</v>
      </c>
      <c r="N21" s="73" t="s">
        <v>89</v>
      </c>
      <c r="O21" s="72">
        <v>100</v>
      </c>
      <c r="P21" s="74" t="s">
        <v>89</v>
      </c>
      <c r="Q21" s="75">
        <v>100</v>
      </c>
    </row>
    <row r="22" spans="1:17" x14ac:dyDescent="0.25">
      <c r="A22" s="89"/>
      <c r="B22" s="19">
        <v>5</v>
      </c>
      <c r="C22" s="20" t="s">
        <v>29</v>
      </c>
      <c r="D22" s="19">
        <v>4432</v>
      </c>
      <c r="E22" s="29" t="s">
        <v>105</v>
      </c>
      <c r="F22" s="14">
        <v>10</v>
      </c>
      <c r="G22" s="14">
        <v>7</v>
      </c>
      <c r="H22" s="14">
        <v>4</v>
      </c>
      <c r="I22" s="14">
        <v>27</v>
      </c>
      <c r="J22" s="14">
        <v>14</v>
      </c>
      <c r="K22" s="33"/>
      <c r="L22" s="15">
        <v>100</v>
      </c>
      <c r="M22" s="72">
        <v>100</v>
      </c>
      <c r="N22" s="73" t="s">
        <v>89</v>
      </c>
      <c r="O22" s="72">
        <v>100</v>
      </c>
      <c r="P22" s="74" t="s">
        <v>89</v>
      </c>
      <c r="Q22" s="75">
        <v>100</v>
      </c>
    </row>
    <row r="23" spans="1:17" x14ac:dyDescent="0.25">
      <c r="A23" s="90"/>
      <c r="B23" s="22">
        <v>6</v>
      </c>
      <c r="C23" s="23" t="s">
        <v>30</v>
      </c>
      <c r="D23" s="22">
        <v>3665</v>
      </c>
      <c r="E23" s="50" t="s">
        <v>103</v>
      </c>
      <c r="F23" s="24">
        <v>6</v>
      </c>
      <c r="G23" s="24">
        <v>2</v>
      </c>
      <c r="H23" s="24">
        <v>6</v>
      </c>
      <c r="I23" s="24">
        <v>18</v>
      </c>
      <c r="J23" s="24">
        <v>22</v>
      </c>
      <c r="K23" s="34"/>
      <c r="L23" s="25">
        <v>100</v>
      </c>
      <c r="M23" s="76">
        <v>100</v>
      </c>
      <c r="N23" s="77" t="s">
        <v>90</v>
      </c>
      <c r="O23" s="76">
        <v>100</v>
      </c>
      <c r="P23" s="78" t="s">
        <v>93</v>
      </c>
      <c r="Q23" s="79">
        <v>100</v>
      </c>
    </row>
    <row r="24" spans="1:17" x14ac:dyDescent="0.25">
      <c r="A24" s="88" t="s">
        <v>69</v>
      </c>
      <c r="B24" s="19">
        <v>2</v>
      </c>
      <c r="C24" s="20" t="s">
        <v>31</v>
      </c>
      <c r="D24" s="19">
        <v>4130</v>
      </c>
      <c r="E24" s="29" t="s">
        <v>103</v>
      </c>
      <c r="F24" s="14">
        <v>7</v>
      </c>
      <c r="G24" s="14">
        <v>2</v>
      </c>
      <c r="H24" s="14">
        <v>6</v>
      </c>
      <c r="I24" s="14">
        <v>20</v>
      </c>
      <c r="J24" s="14">
        <v>17</v>
      </c>
      <c r="K24" s="33"/>
      <c r="L24" s="15">
        <v>100</v>
      </c>
      <c r="M24" s="72">
        <v>100</v>
      </c>
      <c r="N24" s="73" t="s">
        <v>90</v>
      </c>
      <c r="O24" s="72">
        <v>100</v>
      </c>
      <c r="P24" s="74" t="s">
        <v>93</v>
      </c>
      <c r="Q24" s="75">
        <v>100</v>
      </c>
    </row>
    <row r="25" spans="1:17" x14ac:dyDescent="0.25">
      <c r="A25" s="89"/>
      <c r="B25" s="19">
        <v>3</v>
      </c>
      <c r="C25" s="20" t="s">
        <v>32</v>
      </c>
      <c r="D25" s="19">
        <v>3318</v>
      </c>
      <c r="E25" s="29" t="s">
        <v>105</v>
      </c>
      <c r="F25" s="14">
        <v>6</v>
      </c>
      <c r="G25" s="14">
        <v>2</v>
      </c>
      <c r="H25" s="14">
        <v>5</v>
      </c>
      <c r="I25" s="14">
        <v>16</v>
      </c>
      <c r="J25" s="14">
        <v>19</v>
      </c>
      <c r="K25" s="33"/>
      <c r="L25" s="15">
        <v>100</v>
      </c>
      <c r="M25" s="72">
        <v>100</v>
      </c>
      <c r="N25" s="73" t="s">
        <v>89</v>
      </c>
      <c r="O25" s="72">
        <v>100</v>
      </c>
      <c r="P25" s="74" t="s">
        <v>89</v>
      </c>
      <c r="Q25" s="75">
        <v>100</v>
      </c>
    </row>
    <row r="26" spans="1:17" x14ac:dyDescent="0.25">
      <c r="A26" s="89"/>
      <c r="B26" s="19">
        <v>4</v>
      </c>
      <c r="C26" s="20" t="s">
        <v>33</v>
      </c>
      <c r="D26" s="19">
        <v>4457</v>
      </c>
      <c r="E26" s="29" t="s">
        <v>103</v>
      </c>
      <c r="F26" s="14">
        <v>9</v>
      </c>
      <c r="G26" s="14">
        <v>1</v>
      </c>
      <c r="H26" s="14">
        <v>6</v>
      </c>
      <c r="I26" s="14">
        <v>19</v>
      </c>
      <c r="J26" s="14">
        <v>20</v>
      </c>
      <c r="K26" s="33"/>
      <c r="L26" s="15">
        <v>100</v>
      </c>
      <c r="M26" s="72">
        <v>100</v>
      </c>
      <c r="N26" s="73" t="s">
        <v>88</v>
      </c>
      <c r="O26" s="72">
        <v>100</v>
      </c>
      <c r="P26" s="83" t="s">
        <v>94</v>
      </c>
      <c r="Q26" s="82">
        <v>66.666666666666657</v>
      </c>
    </row>
    <row r="27" spans="1:17" x14ac:dyDescent="0.25">
      <c r="A27" s="89"/>
      <c r="B27" s="19">
        <v>5</v>
      </c>
      <c r="C27" s="20" t="s">
        <v>34</v>
      </c>
      <c r="D27" s="19">
        <v>5221</v>
      </c>
      <c r="E27" s="29" t="s">
        <v>35</v>
      </c>
      <c r="F27" s="14">
        <v>16</v>
      </c>
      <c r="G27" s="14">
        <v>4</v>
      </c>
      <c r="H27" s="14">
        <v>2</v>
      </c>
      <c r="I27" s="14">
        <v>36</v>
      </c>
      <c r="J27" s="14">
        <v>40</v>
      </c>
      <c r="K27" s="33"/>
      <c r="L27" s="15">
        <v>100</v>
      </c>
      <c r="M27" s="72">
        <v>100</v>
      </c>
      <c r="N27" s="73" t="s">
        <v>95</v>
      </c>
      <c r="O27" s="72">
        <v>100</v>
      </c>
      <c r="P27" s="74" t="s">
        <v>89</v>
      </c>
      <c r="Q27" s="75">
        <v>100</v>
      </c>
    </row>
    <row r="28" spans="1:17" x14ac:dyDescent="0.25">
      <c r="A28" s="89"/>
      <c r="B28" s="19">
        <v>6</v>
      </c>
      <c r="C28" s="20" t="s">
        <v>36</v>
      </c>
      <c r="D28" s="19">
        <v>3791</v>
      </c>
      <c r="E28" s="29" t="s">
        <v>103</v>
      </c>
      <c r="F28" s="14">
        <v>8</v>
      </c>
      <c r="G28" s="14">
        <v>23</v>
      </c>
      <c r="H28" s="14">
        <v>9</v>
      </c>
      <c r="I28" s="14">
        <v>51</v>
      </c>
      <c r="J28" s="14">
        <v>26</v>
      </c>
      <c r="K28" s="33"/>
      <c r="L28" s="15">
        <v>100</v>
      </c>
      <c r="M28" s="72">
        <v>100</v>
      </c>
      <c r="N28" s="73" t="s">
        <v>88</v>
      </c>
      <c r="O28" s="72">
        <v>100</v>
      </c>
      <c r="P28" s="74" t="s">
        <v>91</v>
      </c>
      <c r="Q28" s="75">
        <v>100</v>
      </c>
    </row>
    <row r="29" spans="1:17" x14ac:dyDescent="0.25">
      <c r="A29" s="90"/>
      <c r="B29" s="22">
        <v>7</v>
      </c>
      <c r="C29" s="23" t="s">
        <v>37</v>
      </c>
      <c r="D29" s="22">
        <v>3811</v>
      </c>
      <c r="E29" s="50" t="s">
        <v>103</v>
      </c>
      <c r="F29" s="24">
        <v>9</v>
      </c>
      <c r="G29" s="24">
        <v>2</v>
      </c>
      <c r="H29" s="24">
        <v>10</v>
      </c>
      <c r="I29" s="24">
        <v>29</v>
      </c>
      <c r="J29" s="24">
        <v>34</v>
      </c>
      <c r="K29" s="34"/>
      <c r="L29" s="25">
        <v>100</v>
      </c>
      <c r="M29" s="76">
        <v>100</v>
      </c>
      <c r="N29" s="77" t="s">
        <v>88</v>
      </c>
      <c r="O29" s="76">
        <v>100</v>
      </c>
      <c r="P29" s="78" t="s">
        <v>88</v>
      </c>
      <c r="Q29" s="79">
        <v>100</v>
      </c>
    </row>
    <row r="30" spans="1:17" x14ac:dyDescent="0.25">
      <c r="A30" s="88" t="s">
        <v>70</v>
      </c>
      <c r="B30" s="19">
        <v>2</v>
      </c>
      <c r="C30" s="20" t="s">
        <v>38</v>
      </c>
      <c r="D30" s="19">
        <v>3773</v>
      </c>
      <c r="E30" s="29" t="s">
        <v>103</v>
      </c>
      <c r="F30" s="14">
        <v>9</v>
      </c>
      <c r="G30" s="14">
        <v>2</v>
      </c>
      <c r="H30" s="14">
        <v>5</v>
      </c>
      <c r="I30" s="14">
        <v>24</v>
      </c>
      <c r="J30" s="14">
        <v>11</v>
      </c>
      <c r="K30" s="33"/>
      <c r="L30" s="15">
        <v>100</v>
      </c>
      <c r="M30" s="72">
        <v>100</v>
      </c>
      <c r="N30" s="73" t="s">
        <v>88</v>
      </c>
      <c r="O30" s="72">
        <v>100</v>
      </c>
      <c r="P30" s="74" t="s">
        <v>88</v>
      </c>
      <c r="Q30" s="75">
        <v>100</v>
      </c>
    </row>
    <row r="31" spans="1:17" x14ac:dyDescent="0.25">
      <c r="A31" s="89"/>
      <c r="B31" s="19">
        <v>3</v>
      </c>
      <c r="C31" s="20" t="s">
        <v>39</v>
      </c>
      <c r="D31" s="19">
        <v>2600</v>
      </c>
      <c r="E31" s="29" t="s">
        <v>105</v>
      </c>
      <c r="F31" s="14">
        <v>4</v>
      </c>
      <c r="G31" s="14">
        <v>2</v>
      </c>
      <c r="H31" s="14">
        <v>3</v>
      </c>
      <c r="I31" s="14">
        <v>16</v>
      </c>
      <c r="J31" s="14">
        <v>18</v>
      </c>
      <c r="K31" s="33"/>
      <c r="L31" s="15">
        <v>100</v>
      </c>
      <c r="M31" s="72">
        <v>100</v>
      </c>
      <c r="N31" s="73" t="s">
        <v>89</v>
      </c>
      <c r="O31" s="72">
        <v>100</v>
      </c>
      <c r="P31" s="74" t="s">
        <v>88</v>
      </c>
      <c r="Q31" s="75">
        <v>100</v>
      </c>
    </row>
    <row r="32" spans="1:17" x14ac:dyDescent="0.25">
      <c r="A32" s="89"/>
      <c r="B32" s="19">
        <v>4</v>
      </c>
      <c r="C32" s="20" t="s">
        <v>40</v>
      </c>
      <c r="D32" s="19">
        <v>3092</v>
      </c>
      <c r="E32" s="29" t="s">
        <v>105</v>
      </c>
      <c r="F32" s="14">
        <v>5</v>
      </c>
      <c r="G32" s="14">
        <v>5</v>
      </c>
      <c r="H32" s="14">
        <v>6</v>
      </c>
      <c r="I32" s="14">
        <v>18</v>
      </c>
      <c r="J32" s="14">
        <v>14</v>
      </c>
      <c r="K32" s="33"/>
      <c r="L32" s="15">
        <v>100</v>
      </c>
      <c r="M32" s="72">
        <v>100</v>
      </c>
      <c r="N32" s="73" t="s">
        <v>89</v>
      </c>
      <c r="O32" s="72">
        <v>100</v>
      </c>
      <c r="P32" s="74" t="s">
        <v>89</v>
      </c>
      <c r="Q32" s="75">
        <v>100</v>
      </c>
    </row>
    <row r="33" spans="1:18" x14ac:dyDescent="0.25">
      <c r="A33" s="89"/>
      <c r="B33" s="19">
        <v>5</v>
      </c>
      <c r="C33" s="20" t="s">
        <v>41</v>
      </c>
      <c r="D33" s="19">
        <v>3512</v>
      </c>
      <c r="E33" s="29" t="s">
        <v>105</v>
      </c>
      <c r="F33" s="14">
        <v>10</v>
      </c>
      <c r="G33" s="14">
        <v>12</v>
      </c>
      <c r="H33" s="14">
        <v>10</v>
      </c>
      <c r="I33" s="14">
        <v>42</v>
      </c>
      <c r="J33" s="14">
        <v>34</v>
      </c>
      <c r="K33" s="33"/>
      <c r="L33" s="15">
        <v>100</v>
      </c>
      <c r="M33" s="72">
        <v>100</v>
      </c>
      <c r="N33" s="73" t="s">
        <v>88</v>
      </c>
      <c r="O33" s="72">
        <v>100</v>
      </c>
      <c r="P33" s="74" t="s">
        <v>89</v>
      </c>
      <c r="Q33" s="75">
        <v>100</v>
      </c>
    </row>
    <row r="34" spans="1:18" x14ac:dyDescent="0.25">
      <c r="A34" s="89"/>
      <c r="B34" s="19">
        <v>6</v>
      </c>
      <c r="C34" s="20" t="s">
        <v>82</v>
      </c>
      <c r="D34" s="19">
        <v>3451</v>
      </c>
      <c r="E34" s="29" t="s">
        <v>105</v>
      </c>
      <c r="F34" s="14">
        <v>7</v>
      </c>
      <c r="G34" s="14">
        <v>3</v>
      </c>
      <c r="H34" s="14">
        <v>3</v>
      </c>
      <c r="I34" s="14">
        <v>22</v>
      </c>
      <c r="J34" s="14">
        <v>30</v>
      </c>
      <c r="K34" s="33"/>
      <c r="L34" s="15">
        <v>100</v>
      </c>
      <c r="M34" s="72">
        <v>100</v>
      </c>
      <c r="N34" s="73" t="s">
        <v>88</v>
      </c>
      <c r="O34" s="72">
        <v>100</v>
      </c>
      <c r="P34" s="74" t="s">
        <v>88</v>
      </c>
      <c r="Q34" s="75">
        <v>100</v>
      </c>
    </row>
    <row r="35" spans="1:18" x14ac:dyDescent="0.25">
      <c r="A35" s="90"/>
      <c r="B35" s="22">
        <v>7</v>
      </c>
      <c r="C35" s="23" t="s">
        <v>42</v>
      </c>
      <c r="D35" s="22">
        <v>2979</v>
      </c>
      <c r="E35" s="50" t="s">
        <v>105</v>
      </c>
      <c r="F35" s="24">
        <v>5</v>
      </c>
      <c r="G35" s="24">
        <v>3</v>
      </c>
      <c r="H35" s="24">
        <v>4</v>
      </c>
      <c r="I35" s="24">
        <v>16</v>
      </c>
      <c r="J35" s="24">
        <v>15</v>
      </c>
      <c r="K35" s="34"/>
      <c r="L35" s="25">
        <v>100</v>
      </c>
      <c r="M35" s="76">
        <v>100</v>
      </c>
      <c r="N35" s="77" t="s">
        <v>89</v>
      </c>
      <c r="O35" s="76">
        <v>100</v>
      </c>
      <c r="P35" s="78" t="s">
        <v>89</v>
      </c>
      <c r="Q35" s="79">
        <v>100</v>
      </c>
    </row>
    <row r="36" spans="1:18" x14ac:dyDescent="0.25">
      <c r="A36" s="88" t="s">
        <v>71</v>
      </c>
      <c r="B36" s="19">
        <v>2</v>
      </c>
      <c r="C36" s="20" t="s">
        <v>43</v>
      </c>
      <c r="D36" s="19">
        <v>3899</v>
      </c>
      <c r="E36" s="29" t="s">
        <v>105</v>
      </c>
      <c r="F36" s="14">
        <v>8</v>
      </c>
      <c r="G36" s="14">
        <v>11</v>
      </c>
      <c r="H36" s="14">
        <v>8</v>
      </c>
      <c r="I36" s="14">
        <v>34</v>
      </c>
      <c r="J36" s="14">
        <v>28</v>
      </c>
      <c r="K36" s="33"/>
      <c r="L36" s="15">
        <v>100</v>
      </c>
      <c r="M36" s="72">
        <v>100</v>
      </c>
      <c r="N36" s="73" t="s">
        <v>88</v>
      </c>
      <c r="O36" s="72">
        <v>100</v>
      </c>
      <c r="P36" s="74" t="s">
        <v>89</v>
      </c>
      <c r="Q36" s="75">
        <v>100</v>
      </c>
    </row>
    <row r="37" spans="1:18" x14ac:dyDescent="0.25">
      <c r="A37" s="89"/>
      <c r="B37" s="19">
        <v>3</v>
      </c>
      <c r="C37" s="20" t="s">
        <v>44</v>
      </c>
      <c r="D37" s="19">
        <v>4713</v>
      </c>
      <c r="E37" s="29" t="s">
        <v>104</v>
      </c>
      <c r="F37" s="14">
        <v>8</v>
      </c>
      <c r="G37" s="14">
        <v>2</v>
      </c>
      <c r="H37" s="14">
        <v>6</v>
      </c>
      <c r="I37" s="14">
        <v>23</v>
      </c>
      <c r="J37" s="14">
        <v>26</v>
      </c>
      <c r="K37" s="33"/>
      <c r="L37" s="15">
        <v>100</v>
      </c>
      <c r="M37" s="85">
        <v>80</v>
      </c>
      <c r="N37" s="73" t="s">
        <v>89</v>
      </c>
      <c r="O37" s="72">
        <v>100</v>
      </c>
      <c r="P37" s="74" t="s">
        <v>88</v>
      </c>
      <c r="Q37" s="75">
        <v>100</v>
      </c>
    </row>
    <row r="38" spans="1:18" x14ac:dyDescent="0.25">
      <c r="A38" s="89"/>
      <c r="B38" s="19">
        <v>4</v>
      </c>
      <c r="C38" s="20" t="s">
        <v>45</v>
      </c>
      <c r="D38" s="19">
        <v>4191</v>
      </c>
      <c r="E38" s="29" t="s">
        <v>105</v>
      </c>
      <c r="F38" s="14">
        <v>11</v>
      </c>
      <c r="G38" s="14">
        <v>7</v>
      </c>
      <c r="H38" s="14">
        <v>5</v>
      </c>
      <c r="I38" s="14">
        <v>32</v>
      </c>
      <c r="J38" s="14">
        <v>17</v>
      </c>
      <c r="K38" s="33"/>
      <c r="L38" s="15">
        <v>100</v>
      </c>
      <c r="M38" s="72">
        <v>100</v>
      </c>
      <c r="N38" s="84" t="s">
        <v>101</v>
      </c>
      <c r="O38" s="85">
        <v>75</v>
      </c>
      <c r="P38" s="74" t="s">
        <v>89</v>
      </c>
      <c r="Q38" s="75">
        <v>100</v>
      </c>
    </row>
    <row r="39" spans="1:18" x14ac:dyDescent="0.25">
      <c r="A39" s="89"/>
      <c r="B39" s="19">
        <v>5</v>
      </c>
      <c r="C39" s="20" t="s">
        <v>46</v>
      </c>
      <c r="D39" s="19">
        <v>4644</v>
      </c>
      <c r="E39" s="29" t="s">
        <v>105</v>
      </c>
      <c r="F39" s="14">
        <v>9</v>
      </c>
      <c r="G39" s="14">
        <v>1</v>
      </c>
      <c r="H39" s="14">
        <v>6</v>
      </c>
      <c r="I39" s="14">
        <v>19</v>
      </c>
      <c r="J39" s="14">
        <v>43</v>
      </c>
      <c r="K39" s="33"/>
      <c r="L39" s="15">
        <v>100</v>
      </c>
      <c r="M39" s="72">
        <v>100</v>
      </c>
      <c r="N39" s="73" t="s">
        <v>89</v>
      </c>
      <c r="O39" s="72">
        <v>100</v>
      </c>
      <c r="P39" s="74" t="s">
        <v>88</v>
      </c>
      <c r="Q39" s="75">
        <v>100</v>
      </c>
    </row>
    <row r="40" spans="1:18" x14ac:dyDescent="0.25">
      <c r="A40" s="89"/>
      <c r="B40" s="19">
        <v>6</v>
      </c>
      <c r="C40" s="20" t="s">
        <v>47</v>
      </c>
      <c r="D40" s="19">
        <v>4947</v>
      </c>
      <c r="E40" s="29" t="s">
        <v>105</v>
      </c>
      <c r="F40" s="14">
        <v>14</v>
      </c>
      <c r="G40" s="14">
        <v>9</v>
      </c>
      <c r="H40" s="14">
        <v>7</v>
      </c>
      <c r="I40" s="14">
        <v>36</v>
      </c>
      <c r="J40" s="14">
        <v>34</v>
      </c>
      <c r="K40" s="33"/>
      <c r="L40" s="15">
        <v>100</v>
      </c>
      <c r="M40" s="72">
        <v>100</v>
      </c>
      <c r="N40" s="73" t="s">
        <v>95</v>
      </c>
      <c r="O40" s="72">
        <v>100</v>
      </c>
      <c r="P40" s="74" t="s">
        <v>88</v>
      </c>
      <c r="Q40" s="75">
        <v>100</v>
      </c>
    </row>
    <row r="41" spans="1:18" x14ac:dyDescent="0.25">
      <c r="A41" s="89"/>
      <c r="B41" s="19">
        <v>7</v>
      </c>
      <c r="C41" s="20" t="s">
        <v>48</v>
      </c>
      <c r="D41" s="19">
        <v>4903</v>
      </c>
      <c r="E41" s="29" t="s">
        <v>103</v>
      </c>
      <c r="F41" s="14">
        <v>10</v>
      </c>
      <c r="G41" s="14">
        <v>9</v>
      </c>
      <c r="H41" s="14">
        <v>17</v>
      </c>
      <c r="I41" s="14">
        <v>5</v>
      </c>
      <c r="J41" s="14">
        <v>5</v>
      </c>
      <c r="K41" s="33"/>
      <c r="L41" s="15">
        <v>100</v>
      </c>
      <c r="M41" s="72">
        <v>100</v>
      </c>
      <c r="N41" s="73" t="s">
        <v>89</v>
      </c>
      <c r="O41" s="72">
        <v>100</v>
      </c>
      <c r="P41" s="83" t="s">
        <v>94</v>
      </c>
      <c r="Q41" s="82">
        <v>66.666666666666657</v>
      </c>
    </row>
    <row r="42" spans="1:18" x14ac:dyDescent="0.25">
      <c r="A42" s="89"/>
      <c r="B42" s="19">
        <v>8</v>
      </c>
      <c r="C42" s="20" t="s">
        <v>83</v>
      </c>
      <c r="D42" s="19">
        <v>4123</v>
      </c>
      <c r="E42" s="29" t="s">
        <v>105</v>
      </c>
      <c r="F42" s="14">
        <v>8</v>
      </c>
      <c r="G42" s="14">
        <v>5</v>
      </c>
      <c r="H42" s="14">
        <v>12</v>
      </c>
      <c r="I42" s="14">
        <v>29</v>
      </c>
      <c r="J42" s="14">
        <v>22</v>
      </c>
      <c r="K42" s="33"/>
      <c r="L42" s="15">
        <v>100</v>
      </c>
      <c r="M42" s="72">
        <v>100</v>
      </c>
      <c r="N42" s="73" t="s">
        <v>88</v>
      </c>
      <c r="O42" s="72">
        <v>100</v>
      </c>
      <c r="P42" s="74" t="s">
        <v>89</v>
      </c>
      <c r="Q42" s="75">
        <v>100</v>
      </c>
    </row>
    <row r="43" spans="1:18" x14ac:dyDescent="0.25">
      <c r="A43" s="89"/>
      <c r="B43" s="19">
        <v>9</v>
      </c>
      <c r="C43" s="20" t="s">
        <v>84</v>
      </c>
      <c r="D43" s="19">
        <v>5274</v>
      </c>
      <c r="E43" s="29" t="s">
        <v>105</v>
      </c>
      <c r="F43" s="14">
        <v>13</v>
      </c>
      <c r="G43" s="14">
        <v>8</v>
      </c>
      <c r="H43" s="14">
        <v>6</v>
      </c>
      <c r="I43" s="14">
        <v>38</v>
      </c>
      <c r="J43" s="14">
        <v>51</v>
      </c>
      <c r="K43" s="33"/>
      <c r="L43" s="15">
        <v>100</v>
      </c>
      <c r="M43" s="72">
        <v>100</v>
      </c>
      <c r="N43" s="73" t="s">
        <v>89</v>
      </c>
      <c r="O43" s="72">
        <v>100</v>
      </c>
      <c r="P43" s="74" t="s">
        <v>95</v>
      </c>
      <c r="Q43" s="75">
        <v>100</v>
      </c>
    </row>
    <row r="44" spans="1:18" x14ac:dyDescent="0.25">
      <c r="A44" s="90"/>
      <c r="B44" s="22">
        <v>10</v>
      </c>
      <c r="C44" s="23" t="s">
        <v>85</v>
      </c>
      <c r="D44" s="22">
        <v>4240</v>
      </c>
      <c r="E44" s="50" t="s">
        <v>103</v>
      </c>
      <c r="F44" s="24">
        <v>7</v>
      </c>
      <c r="G44" s="24">
        <v>9</v>
      </c>
      <c r="H44" s="24">
        <v>3</v>
      </c>
      <c r="I44" s="24">
        <v>26</v>
      </c>
      <c r="J44" s="24">
        <v>22</v>
      </c>
      <c r="K44" s="53"/>
      <c r="L44" s="25">
        <v>100</v>
      </c>
      <c r="M44" s="76">
        <v>100</v>
      </c>
      <c r="N44" s="77" t="s">
        <v>89</v>
      </c>
      <c r="O44" s="76">
        <v>100</v>
      </c>
      <c r="P44" s="78" t="s">
        <v>91</v>
      </c>
      <c r="Q44" s="80">
        <v>100</v>
      </c>
      <c r="R44" s="54"/>
    </row>
    <row r="45" spans="1:18" x14ac:dyDescent="0.25">
      <c r="A45" s="88" t="s">
        <v>72</v>
      </c>
      <c r="B45" s="19">
        <v>2</v>
      </c>
      <c r="C45" s="20" t="s">
        <v>49</v>
      </c>
      <c r="D45" s="19">
        <v>3611</v>
      </c>
      <c r="E45" s="29" t="s">
        <v>103</v>
      </c>
      <c r="F45" s="14">
        <v>6</v>
      </c>
      <c r="G45" s="14">
        <v>5</v>
      </c>
      <c r="H45" s="14">
        <v>4</v>
      </c>
      <c r="I45" s="14">
        <v>22</v>
      </c>
      <c r="J45" s="14">
        <v>11</v>
      </c>
      <c r="K45" s="33"/>
      <c r="L45" s="15">
        <v>100</v>
      </c>
      <c r="M45" s="72">
        <v>100</v>
      </c>
      <c r="N45" s="73" t="s">
        <v>88</v>
      </c>
      <c r="O45" s="72">
        <v>100</v>
      </c>
      <c r="P45" s="74" t="s">
        <v>89</v>
      </c>
      <c r="Q45" s="75">
        <v>100</v>
      </c>
    </row>
    <row r="46" spans="1:18" x14ac:dyDescent="0.25">
      <c r="A46" s="89"/>
      <c r="B46" s="19">
        <v>3</v>
      </c>
      <c r="C46" s="20" t="s">
        <v>50</v>
      </c>
      <c r="D46" s="19">
        <v>4972</v>
      </c>
      <c r="E46" s="29" t="s">
        <v>35</v>
      </c>
      <c r="F46" s="14">
        <v>15</v>
      </c>
      <c r="G46" s="14">
        <v>17</v>
      </c>
      <c r="H46" s="14">
        <v>2</v>
      </c>
      <c r="I46" s="14">
        <v>44</v>
      </c>
      <c r="J46" s="14">
        <v>27</v>
      </c>
      <c r="K46" s="33"/>
      <c r="L46" s="15">
        <v>100</v>
      </c>
      <c r="M46" s="72">
        <v>100</v>
      </c>
      <c r="N46" s="73" t="s">
        <v>95</v>
      </c>
      <c r="O46" s="72">
        <v>100</v>
      </c>
      <c r="P46" s="74" t="s">
        <v>90</v>
      </c>
      <c r="Q46" s="75">
        <v>100</v>
      </c>
    </row>
    <row r="47" spans="1:18" x14ac:dyDescent="0.25">
      <c r="A47" s="89"/>
      <c r="B47" s="19">
        <v>4</v>
      </c>
      <c r="C47" s="20" t="s">
        <v>51</v>
      </c>
      <c r="D47" s="19">
        <v>3825</v>
      </c>
      <c r="E47" s="29" t="s">
        <v>103</v>
      </c>
      <c r="F47" s="14">
        <v>7</v>
      </c>
      <c r="G47" s="14">
        <v>7</v>
      </c>
      <c r="H47" s="14">
        <v>6</v>
      </c>
      <c r="I47" s="14">
        <v>30</v>
      </c>
      <c r="J47" s="14">
        <v>18</v>
      </c>
      <c r="K47" s="33"/>
      <c r="L47" s="15">
        <v>100</v>
      </c>
      <c r="M47" s="72">
        <v>100</v>
      </c>
      <c r="N47" s="73" t="s">
        <v>88</v>
      </c>
      <c r="O47" s="72">
        <v>100</v>
      </c>
      <c r="P47" s="74" t="s">
        <v>88</v>
      </c>
      <c r="Q47" s="75">
        <v>100</v>
      </c>
    </row>
    <row r="48" spans="1:18" x14ac:dyDescent="0.25">
      <c r="A48" s="89"/>
      <c r="B48" s="19">
        <v>5</v>
      </c>
      <c r="C48" s="20" t="s">
        <v>52</v>
      </c>
      <c r="D48" s="19">
        <v>4051</v>
      </c>
      <c r="E48" s="29" t="s">
        <v>35</v>
      </c>
      <c r="F48" s="14">
        <v>16</v>
      </c>
      <c r="G48" s="14">
        <v>30</v>
      </c>
      <c r="H48" s="14">
        <v>3</v>
      </c>
      <c r="I48" s="14">
        <v>65</v>
      </c>
      <c r="J48" s="14">
        <v>28</v>
      </c>
      <c r="K48" s="33"/>
      <c r="L48" s="15">
        <v>100</v>
      </c>
      <c r="M48" s="72">
        <v>100</v>
      </c>
      <c r="N48" s="73" t="s">
        <v>88</v>
      </c>
      <c r="O48" s="72">
        <v>100</v>
      </c>
      <c r="P48" s="74" t="s">
        <v>93</v>
      </c>
      <c r="Q48" s="75">
        <v>100</v>
      </c>
    </row>
    <row r="49" spans="1:17" x14ac:dyDescent="0.25">
      <c r="A49" s="89"/>
      <c r="B49" s="19">
        <v>6</v>
      </c>
      <c r="C49" s="20" t="s">
        <v>53</v>
      </c>
      <c r="D49" s="19">
        <v>3969</v>
      </c>
      <c r="E49" s="29" t="s">
        <v>105</v>
      </c>
      <c r="F49" s="14">
        <v>6</v>
      </c>
      <c r="G49" s="14">
        <v>5</v>
      </c>
      <c r="H49" s="14">
        <v>5</v>
      </c>
      <c r="I49" s="14">
        <v>23</v>
      </c>
      <c r="J49" s="14">
        <v>21</v>
      </c>
      <c r="K49" s="33"/>
      <c r="L49" s="15">
        <v>100</v>
      </c>
      <c r="M49" s="72">
        <v>100</v>
      </c>
      <c r="N49" s="73" t="s">
        <v>89</v>
      </c>
      <c r="O49" s="72">
        <v>100</v>
      </c>
      <c r="P49" s="74" t="s">
        <v>88</v>
      </c>
      <c r="Q49" s="75">
        <v>100</v>
      </c>
    </row>
    <row r="50" spans="1:17" x14ac:dyDescent="0.25">
      <c r="A50" s="89"/>
      <c r="B50" s="19">
        <v>7</v>
      </c>
      <c r="C50" s="20" t="s">
        <v>54</v>
      </c>
      <c r="D50" s="19">
        <v>4202</v>
      </c>
      <c r="E50" s="29" t="s">
        <v>105</v>
      </c>
      <c r="F50" s="14">
        <v>10</v>
      </c>
      <c r="G50" s="14">
        <v>2</v>
      </c>
      <c r="H50" s="14">
        <v>4</v>
      </c>
      <c r="I50" s="14">
        <v>20</v>
      </c>
      <c r="J50" s="14">
        <v>18</v>
      </c>
      <c r="K50" s="33"/>
      <c r="L50" s="15">
        <v>100</v>
      </c>
      <c r="M50" s="72">
        <v>100</v>
      </c>
      <c r="N50" s="73" t="s">
        <v>89</v>
      </c>
      <c r="O50" s="72">
        <v>100</v>
      </c>
      <c r="P50" s="83" t="s">
        <v>96</v>
      </c>
      <c r="Q50" s="82">
        <v>50</v>
      </c>
    </row>
    <row r="51" spans="1:17" x14ac:dyDescent="0.25">
      <c r="A51" s="89"/>
      <c r="B51" s="19">
        <v>8</v>
      </c>
      <c r="C51" s="20" t="s">
        <v>55</v>
      </c>
      <c r="D51" s="19">
        <v>4268</v>
      </c>
      <c r="E51" s="29" t="s">
        <v>103</v>
      </c>
      <c r="F51" s="14">
        <v>8</v>
      </c>
      <c r="G51" s="14">
        <v>18</v>
      </c>
      <c r="H51" s="14">
        <v>13</v>
      </c>
      <c r="I51" s="14">
        <v>53</v>
      </c>
      <c r="J51" s="14">
        <v>27</v>
      </c>
      <c r="K51" s="33"/>
      <c r="L51" s="15">
        <v>100</v>
      </c>
      <c r="M51" s="72">
        <v>100</v>
      </c>
      <c r="N51" s="73" t="s">
        <v>88</v>
      </c>
      <c r="O51" s="72">
        <v>100</v>
      </c>
      <c r="P51" s="74" t="s">
        <v>91</v>
      </c>
      <c r="Q51" s="75">
        <v>100</v>
      </c>
    </row>
    <row r="52" spans="1:17" x14ac:dyDescent="0.25">
      <c r="A52" s="90"/>
      <c r="B52" s="22">
        <v>9</v>
      </c>
      <c r="C52" s="23" t="s">
        <v>56</v>
      </c>
      <c r="D52" s="22">
        <v>3593</v>
      </c>
      <c r="E52" s="50" t="s">
        <v>103</v>
      </c>
      <c r="F52" s="24">
        <v>10</v>
      </c>
      <c r="G52" s="24">
        <v>11</v>
      </c>
      <c r="H52" s="24">
        <v>7</v>
      </c>
      <c r="I52" s="24">
        <v>36</v>
      </c>
      <c r="J52" s="24">
        <v>22</v>
      </c>
      <c r="K52" s="34"/>
      <c r="L52" s="25">
        <v>100</v>
      </c>
      <c r="M52" s="76">
        <v>100</v>
      </c>
      <c r="N52" s="77" t="s">
        <v>88</v>
      </c>
      <c r="O52" s="76">
        <v>100</v>
      </c>
      <c r="P52" s="78" t="s">
        <v>93</v>
      </c>
      <c r="Q52" s="79">
        <v>100</v>
      </c>
    </row>
    <row r="53" spans="1:17" x14ac:dyDescent="0.25">
      <c r="A53" s="88" t="s">
        <v>73</v>
      </c>
      <c r="B53" s="19">
        <v>2</v>
      </c>
      <c r="C53" s="20" t="s">
        <v>57</v>
      </c>
      <c r="D53" s="19">
        <v>3701</v>
      </c>
      <c r="E53" s="29" t="s">
        <v>105</v>
      </c>
      <c r="F53" s="14">
        <v>9</v>
      </c>
      <c r="G53" s="14">
        <v>3</v>
      </c>
      <c r="H53" s="14">
        <v>3</v>
      </c>
      <c r="I53" s="14">
        <v>21</v>
      </c>
      <c r="J53" s="14">
        <v>18</v>
      </c>
      <c r="K53" s="33"/>
      <c r="L53" s="15">
        <v>100</v>
      </c>
      <c r="M53" s="72">
        <v>100</v>
      </c>
      <c r="N53" s="73" t="s">
        <v>89</v>
      </c>
      <c r="O53" s="72">
        <v>100</v>
      </c>
      <c r="P53" s="74" t="s">
        <v>89</v>
      </c>
      <c r="Q53" s="75">
        <v>100</v>
      </c>
    </row>
    <row r="54" spans="1:17" x14ac:dyDescent="0.25">
      <c r="A54" s="89"/>
      <c r="B54" s="19">
        <v>3</v>
      </c>
      <c r="C54" s="20" t="s">
        <v>58</v>
      </c>
      <c r="D54" s="19">
        <v>4148</v>
      </c>
      <c r="E54" s="29" t="s">
        <v>105</v>
      </c>
      <c r="F54" s="14">
        <v>7</v>
      </c>
      <c r="G54" s="14">
        <v>3</v>
      </c>
      <c r="H54" s="14">
        <v>4</v>
      </c>
      <c r="I54" s="14">
        <v>19</v>
      </c>
      <c r="J54" s="14">
        <v>25</v>
      </c>
      <c r="K54" s="33"/>
      <c r="L54" s="15">
        <v>100</v>
      </c>
      <c r="M54" s="72">
        <v>100</v>
      </c>
      <c r="N54" s="73" t="s">
        <v>89</v>
      </c>
      <c r="O54" s="72">
        <v>100</v>
      </c>
      <c r="P54" s="74" t="s">
        <v>88</v>
      </c>
      <c r="Q54" s="75">
        <v>100</v>
      </c>
    </row>
    <row r="55" spans="1:17" x14ac:dyDescent="0.25">
      <c r="A55" s="89"/>
      <c r="B55" s="19">
        <v>4</v>
      </c>
      <c r="C55" s="20" t="s">
        <v>59</v>
      </c>
      <c r="D55" s="19">
        <v>3357</v>
      </c>
      <c r="E55" s="29" t="s">
        <v>105</v>
      </c>
      <c r="F55" s="14">
        <v>4</v>
      </c>
      <c r="G55" s="14">
        <v>6</v>
      </c>
      <c r="H55" s="14">
        <v>8</v>
      </c>
      <c r="I55" s="14">
        <v>20</v>
      </c>
      <c r="J55" s="14">
        <v>24</v>
      </c>
      <c r="K55" s="33"/>
      <c r="L55" s="15">
        <v>100</v>
      </c>
      <c r="M55" s="72">
        <v>100</v>
      </c>
      <c r="N55" s="73" t="s">
        <v>89</v>
      </c>
      <c r="O55" s="72">
        <v>100</v>
      </c>
      <c r="P55" s="74" t="s">
        <v>89</v>
      </c>
      <c r="Q55" s="75">
        <v>100</v>
      </c>
    </row>
    <row r="56" spans="1:17" x14ac:dyDescent="0.25">
      <c r="A56" s="89"/>
      <c r="B56" s="19">
        <v>5</v>
      </c>
      <c r="C56" s="20" t="s">
        <v>60</v>
      </c>
      <c r="D56" s="19">
        <v>4412</v>
      </c>
      <c r="E56" s="29" t="s">
        <v>105</v>
      </c>
      <c r="F56" s="14">
        <v>7</v>
      </c>
      <c r="G56" s="14">
        <v>2</v>
      </c>
      <c r="H56" s="14">
        <v>4</v>
      </c>
      <c r="I56" s="14">
        <v>13</v>
      </c>
      <c r="J56" s="14">
        <v>27</v>
      </c>
      <c r="K56" s="33"/>
      <c r="L56" s="15">
        <v>100</v>
      </c>
      <c r="M56" s="72">
        <v>100</v>
      </c>
      <c r="N56" s="73" t="s">
        <v>88</v>
      </c>
      <c r="O56" s="72">
        <v>100</v>
      </c>
      <c r="P56" s="74" t="s">
        <v>90</v>
      </c>
      <c r="Q56" s="75">
        <v>100</v>
      </c>
    </row>
    <row r="57" spans="1:17" x14ac:dyDescent="0.25">
      <c r="A57" s="89"/>
      <c r="B57" s="19">
        <v>7</v>
      </c>
      <c r="C57" s="20" t="s">
        <v>61</v>
      </c>
      <c r="D57" s="19">
        <v>3871</v>
      </c>
      <c r="E57" s="29" t="s">
        <v>105</v>
      </c>
      <c r="F57" s="14">
        <v>7</v>
      </c>
      <c r="G57" s="14">
        <v>11</v>
      </c>
      <c r="H57" s="14">
        <v>9</v>
      </c>
      <c r="I57" s="14">
        <v>32</v>
      </c>
      <c r="J57" s="14">
        <v>35</v>
      </c>
      <c r="K57" s="33"/>
      <c r="L57" s="15">
        <v>100</v>
      </c>
      <c r="M57" s="72">
        <v>100</v>
      </c>
      <c r="N57" s="73" t="s">
        <v>88</v>
      </c>
      <c r="O57" s="72">
        <v>100</v>
      </c>
      <c r="P57" s="74" t="s">
        <v>89</v>
      </c>
      <c r="Q57" s="75">
        <v>100</v>
      </c>
    </row>
    <row r="58" spans="1:17" x14ac:dyDescent="0.25">
      <c r="A58" s="89"/>
      <c r="B58" s="19">
        <v>8</v>
      </c>
      <c r="C58" s="20" t="s">
        <v>62</v>
      </c>
      <c r="D58" s="19">
        <v>4292</v>
      </c>
      <c r="E58" s="29" t="s">
        <v>105</v>
      </c>
      <c r="F58" s="14">
        <v>8</v>
      </c>
      <c r="G58" s="14">
        <v>19</v>
      </c>
      <c r="H58" s="14">
        <v>5</v>
      </c>
      <c r="I58" s="14">
        <v>45</v>
      </c>
      <c r="J58" s="14">
        <v>38</v>
      </c>
      <c r="K58" s="33"/>
      <c r="L58" s="15">
        <v>100</v>
      </c>
      <c r="M58" s="72">
        <v>100</v>
      </c>
      <c r="N58" s="73" t="s">
        <v>88</v>
      </c>
      <c r="O58" s="72">
        <v>100</v>
      </c>
      <c r="P58" s="74" t="s">
        <v>89</v>
      </c>
      <c r="Q58" s="75">
        <v>100</v>
      </c>
    </row>
    <row r="59" spans="1:17" x14ac:dyDescent="0.25">
      <c r="A59" s="90"/>
      <c r="B59" s="22">
        <v>9</v>
      </c>
      <c r="C59" s="23" t="s">
        <v>63</v>
      </c>
      <c r="D59" s="22">
        <v>3593</v>
      </c>
      <c r="E59" s="50" t="s">
        <v>105</v>
      </c>
      <c r="F59" s="24">
        <v>6</v>
      </c>
      <c r="G59" s="24">
        <v>6</v>
      </c>
      <c r="H59" s="24">
        <v>7</v>
      </c>
      <c r="I59" s="24">
        <v>28</v>
      </c>
      <c r="J59" s="24">
        <v>22</v>
      </c>
      <c r="K59" s="34"/>
      <c r="L59" s="25">
        <v>100</v>
      </c>
      <c r="M59" s="76">
        <v>100</v>
      </c>
      <c r="N59" s="77" t="s">
        <v>89</v>
      </c>
      <c r="O59" s="76">
        <v>100</v>
      </c>
      <c r="P59" s="78" t="s">
        <v>89</v>
      </c>
      <c r="Q59" s="79">
        <v>100</v>
      </c>
    </row>
    <row r="60" spans="1:17" x14ac:dyDescent="0.25">
      <c r="A60" s="88" t="s">
        <v>74</v>
      </c>
      <c r="B60" s="19">
        <v>2</v>
      </c>
      <c r="C60" s="20" t="s">
        <v>75</v>
      </c>
      <c r="D60" s="19">
        <v>3966</v>
      </c>
      <c r="E60" s="29" t="s">
        <v>105</v>
      </c>
      <c r="F60" s="14">
        <v>8</v>
      </c>
      <c r="G60" s="14">
        <v>12</v>
      </c>
      <c r="H60" s="14">
        <v>10</v>
      </c>
      <c r="I60" s="14">
        <v>40</v>
      </c>
      <c r="J60" s="14">
        <v>17</v>
      </c>
      <c r="K60" s="33"/>
      <c r="L60" s="15">
        <v>100</v>
      </c>
      <c r="M60" s="72">
        <v>100</v>
      </c>
      <c r="N60" s="73" t="s">
        <v>88</v>
      </c>
      <c r="O60" s="72">
        <v>100</v>
      </c>
      <c r="P60" s="74" t="s">
        <v>89</v>
      </c>
      <c r="Q60" s="75">
        <v>100</v>
      </c>
    </row>
    <row r="61" spans="1:17" x14ac:dyDescent="0.25">
      <c r="A61" s="89"/>
      <c r="B61" s="19">
        <v>4</v>
      </c>
      <c r="C61" s="20" t="s">
        <v>76</v>
      </c>
      <c r="D61" s="19">
        <v>3568</v>
      </c>
      <c r="E61" s="29" t="s">
        <v>103</v>
      </c>
      <c r="F61" s="14">
        <v>8</v>
      </c>
      <c r="G61" s="14">
        <v>2</v>
      </c>
      <c r="H61" s="14">
        <v>5</v>
      </c>
      <c r="I61" s="14">
        <v>29</v>
      </c>
      <c r="J61" s="14">
        <v>16</v>
      </c>
      <c r="K61" s="33"/>
      <c r="L61" s="15">
        <v>100</v>
      </c>
      <c r="M61" s="72">
        <v>100</v>
      </c>
      <c r="N61" s="73" t="s">
        <v>88</v>
      </c>
      <c r="O61" s="72">
        <v>100</v>
      </c>
      <c r="P61" s="74" t="s">
        <v>89</v>
      </c>
      <c r="Q61" s="75">
        <v>100</v>
      </c>
    </row>
    <row r="62" spans="1:17" x14ac:dyDescent="0.25">
      <c r="A62" s="89"/>
      <c r="B62" s="19">
        <v>7</v>
      </c>
      <c r="C62" s="20" t="s">
        <v>77</v>
      </c>
      <c r="D62" s="19">
        <v>5012</v>
      </c>
      <c r="E62" s="29" t="s">
        <v>16</v>
      </c>
      <c r="F62" s="14">
        <v>17</v>
      </c>
      <c r="G62" s="14">
        <v>6</v>
      </c>
      <c r="H62" s="14">
        <v>4</v>
      </c>
      <c r="I62" s="14">
        <v>44</v>
      </c>
      <c r="J62" s="14">
        <v>31</v>
      </c>
      <c r="K62" s="33"/>
      <c r="L62" s="15">
        <v>100</v>
      </c>
      <c r="M62" s="72">
        <v>100</v>
      </c>
      <c r="N62" s="73" t="s">
        <v>89</v>
      </c>
      <c r="O62" s="72">
        <v>100</v>
      </c>
      <c r="P62" s="83" t="s">
        <v>97</v>
      </c>
      <c r="Q62" s="82">
        <v>50</v>
      </c>
    </row>
    <row r="63" spans="1:17" x14ac:dyDescent="0.25">
      <c r="A63" s="89"/>
      <c r="B63" s="19">
        <v>9</v>
      </c>
      <c r="C63" s="20" t="s">
        <v>78</v>
      </c>
      <c r="D63" s="19">
        <v>4133</v>
      </c>
      <c r="E63" s="29" t="s">
        <v>103</v>
      </c>
      <c r="F63" s="14">
        <v>8</v>
      </c>
      <c r="G63" s="14">
        <v>17</v>
      </c>
      <c r="H63" s="14">
        <v>6</v>
      </c>
      <c r="I63" s="14">
        <v>49</v>
      </c>
      <c r="J63" s="14">
        <v>13</v>
      </c>
      <c r="K63" s="33"/>
      <c r="L63" s="15">
        <v>100</v>
      </c>
      <c r="M63" s="72">
        <v>100</v>
      </c>
      <c r="N63" s="73" t="s">
        <v>89</v>
      </c>
      <c r="O63" s="72">
        <v>100</v>
      </c>
      <c r="P63" s="81" t="s">
        <v>93</v>
      </c>
      <c r="Q63" s="75">
        <v>100</v>
      </c>
    </row>
    <row r="64" spans="1:17" x14ac:dyDescent="0.25">
      <c r="A64" s="89"/>
      <c r="B64" s="19">
        <v>10</v>
      </c>
      <c r="C64" s="20" t="s">
        <v>79</v>
      </c>
      <c r="D64" s="19">
        <v>3345</v>
      </c>
      <c r="E64" s="29" t="s">
        <v>16</v>
      </c>
      <c r="F64" s="14">
        <v>6</v>
      </c>
      <c r="G64" s="14">
        <v>19</v>
      </c>
      <c r="H64" s="14">
        <v>7</v>
      </c>
      <c r="I64" s="14">
        <v>51</v>
      </c>
      <c r="J64" s="14">
        <v>15</v>
      </c>
      <c r="K64" s="33"/>
      <c r="L64" s="15">
        <v>100</v>
      </c>
      <c r="M64" s="72">
        <v>100</v>
      </c>
      <c r="N64" s="73" t="s">
        <v>88</v>
      </c>
      <c r="O64" s="72">
        <v>100</v>
      </c>
      <c r="P64" s="74" t="s">
        <v>91</v>
      </c>
      <c r="Q64" s="75">
        <v>100</v>
      </c>
    </row>
    <row r="65" spans="1:17" x14ac:dyDescent="0.25">
      <c r="A65" s="89"/>
      <c r="B65" s="19">
        <v>11</v>
      </c>
      <c r="C65" s="20" t="s">
        <v>80</v>
      </c>
      <c r="D65" s="19">
        <v>3490</v>
      </c>
      <c r="E65" s="29" t="s">
        <v>103</v>
      </c>
      <c r="F65" s="14">
        <v>6</v>
      </c>
      <c r="G65" s="14">
        <v>3</v>
      </c>
      <c r="H65" s="14">
        <v>2</v>
      </c>
      <c r="I65" s="14">
        <v>26</v>
      </c>
      <c r="J65" s="14">
        <v>14</v>
      </c>
      <c r="K65" s="33"/>
      <c r="L65" s="15">
        <v>100</v>
      </c>
      <c r="M65" s="72">
        <v>100</v>
      </c>
      <c r="N65" s="73" t="s">
        <v>88</v>
      </c>
      <c r="O65" s="72">
        <v>100</v>
      </c>
      <c r="P65" s="74" t="s">
        <v>93</v>
      </c>
      <c r="Q65" s="75">
        <v>100</v>
      </c>
    </row>
    <row r="66" spans="1:17" x14ac:dyDescent="0.25">
      <c r="A66" s="90"/>
      <c r="B66" s="22">
        <v>12</v>
      </c>
      <c r="C66" s="23" t="s">
        <v>81</v>
      </c>
      <c r="D66" s="22">
        <v>3376</v>
      </c>
      <c r="E66" s="50" t="s">
        <v>105</v>
      </c>
      <c r="F66" s="24">
        <v>6</v>
      </c>
      <c r="G66" s="24">
        <v>3</v>
      </c>
      <c r="H66" s="24">
        <v>5</v>
      </c>
      <c r="I66" s="24">
        <v>16</v>
      </c>
      <c r="J66" s="24">
        <v>21</v>
      </c>
      <c r="K66" s="34"/>
      <c r="L66" s="15">
        <v>100</v>
      </c>
      <c r="M66" s="72">
        <v>100</v>
      </c>
      <c r="N66" s="73" t="s">
        <v>90</v>
      </c>
      <c r="O66" s="72">
        <v>100</v>
      </c>
      <c r="P66" s="74" t="s">
        <v>90</v>
      </c>
      <c r="Q66" s="75">
        <v>100</v>
      </c>
    </row>
    <row r="67" spans="1:17" ht="28.5" x14ac:dyDescent="0.25">
      <c r="A67" s="37"/>
      <c r="B67" s="38"/>
      <c r="C67" s="39"/>
      <c r="D67" s="40"/>
      <c r="E67" s="51"/>
      <c r="F67" s="39"/>
      <c r="G67" s="41"/>
      <c r="H67" s="42"/>
      <c r="I67" s="41"/>
      <c r="J67" s="43" t="s">
        <v>108</v>
      </c>
      <c r="K67" s="44"/>
      <c r="L67" s="45">
        <v>100</v>
      </c>
      <c r="M67" s="45">
        <v>99.7</v>
      </c>
      <c r="N67" s="46" t="s">
        <v>116</v>
      </c>
      <c r="O67" s="45">
        <v>98.6</v>
      </c>
      <c r="P67" s="46" t="s">
        <v>109</v>
      </c>
      <c r="Q67" s="47">
        <v>97.1</v>
      </c>
    </row>
  </sheetData>
  <mergeCells count="10">
    <mergeCell ref="A36:A44"/>
    <mergeCell ref="A45:A52"/>
    <mergeCell ref="A53:A59"/>
    <mergeCell ref="A60:A66"/>
    <mergeCell ref="A2:A6"/>
    <mergeCell ref="A7:A10"/>
    <mergeCell ref="A11:A18"/>
    <mergeCell ref="A19:A23"/>
    <mergeCell ref="A24:A29"/>
    <mergeCell ref="A30:A35"/>
  </mergeCells>
  <conditionalFormatting sqref="F2:J59">
    <cfRule type="colorScale" priority="16">
      <colorScale>
        <cfvo type="min"/>
        <cfvo type="max"/>
        <color rgb="FFFCFCFF"/>
        <color rgb="FF63BE7B"/>
      </colorScale>
    </cfRule>
  </conditionalFormatting>
  <conditionalFormatting sqref="F60:J66">
    <cfRule type="colorScale" priority="8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  <pageSetup scale="4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0527D-7F5E-4DC9-B6B7-F5093C0E906C}">
  <dimension ref="A1:AA69"/>
  <sheetViews>
    <sheetView tabSelected="1" zoomScaleNormal="100" workbookViewId="0">
      <pane ySplit="1" topLeftCell="A11" activePane="bottomLeft" state="frozen"/>
      <selection pane="bottomLeft" activeCell="J48" sqref="J48"/>
    </sheetView>
  </sheetViews>
  <sheetFormatPr defaultRowHeight="15" x14ac:dyDescent="0.25"/>
  <cols>
    <col min="1" max="1" width="20.28515625" customWidth="1"/>
    <col min="2" max="2" width="3.7109375" bestFit="1" customWidth="1"/>
    <col min="3" max="3" width="11.5703125" customWidth="1"/>
    <col min="4" max="4" width="11.28515625" customWidth="1"/>
    <col min="5" max="5" width="3.7109375" bestFit="1" customWidth="1"/>
    <col min="6" max="6" width="27.140625" customWidth="1"/>
    <col min="7" max="7" width="29.5703125" customWidth="1"/>
    <col min="8" max="9" width="6.140625" bestFit="1" customWidth="1"/>
    <col min="10" max="10" width="44.5703125" customWidth="1"/>
    <col min="11" max="11" width="6.140625" bestFit="1" customWidth="1"/>
    <col min="12" max="12" width="8" bestFit="1" customWidth="1"/>
    <col min="13" max="13" width="7.85546875" style="6" bestFit="1" customWidth="1"/>
    <col min="14" max="14" width="4" bestFit="1" customWidth="1"/>
    <col min="15" max="15" width="5.5703125" style="94" bestFit="1" customWidth="1"/>
    <col min="16" max="16" width="7.85546875" style="6" bestFit="1" customWidth="1"/>
    <col min="17" max="17" width="52.42578125" customWidth="1"/>
    <col min="18" max="19" width="4" bestFit="1" customWidth="1"/>
    <col min="20" max="20" width="7.85546875" bestFit="1" customWidth="1"/>
    <col min="21" max="21" width="5.5703125" bestFit="1" customWidth="1"/>
    <col min="22" max="22" width="4.5703125" bestFit="1" customWidth="1"/>
    <col min="23" max="24" width="4" bestFit="1" customWidth="1"/>
    <col min="25" max="26" width="7.85546875" bestFit="1" customWidth="1"/>
    <col min="27" max="27" width="48.42578125" customWidth="1"/>
  </cols>
  <sheetData>
    <row r="1" spans="1:27" ht="206.25" x14ac:dyDescent="0.25">
      <c r="A1" s="130" t="s">
        <v>238</v>
      </c>
      <c r="B1" s="131" t="s">
        <v>237</v>
      </c>
      <c r="C1" s="132" t="s">
        <v>236</v>
      </c>
      <c r="D1" s="130" t="s">
        <v>235</v>
      </c>
      <c r="E1" s="131" t="s">
        <v>256</v>
      </c>
      <c r="F1" s="132" t="s">
        <v>260</v>
      </c>
      <c r="G1" s="130" t="s">
        <v>234</v>
      </c>
      <c r="H1" s="133" t="s">
        <v>257</v>
      </c>
      <c r="I1" s="134" t="s">
        <v>240</v>
      </c>
      <c r="J1" s="135" t="s">
        <v>239</v>
      </c>
      <c r="K1" s="136" t="s">
        <v>258</v>
      </c>
      <c r="L1" s="137" t="s">
        <v>244</v>
      </c>
      <c r="M1" s="138" t="s">
        <v>241</v>
      </c>
      <c r="N1" s="139" t="s">
        <v>242</v>
      </c>
      <c r="O1" s="138" t="s">
        <v>259</v>
      </c>
      <c r="P1" s="140" t="s">
        <v>245</v>
      </c>
      <c r="Q1" s="141" t="s">
        <v>243</v>
      </c>
      <c r="R1" s="138" t="s">
        <v>246</v>
      </c>
      <c r="S1" s="139" t="s">
        <v>247</v>
      </c>
      <c r="T1" s="139" t="s">
        <v>248</v>
      </c>
      <c r="U1" s="142" t="s">
        <v>249</v>
      </c>
      <c r="V1" s="143" t="s">
        <v>250</v>
      </c>
      <c r="W1" s="144" t="s">
        <v>251</v>
      </c>
      <c r="X1" s="139" t="s">
        <v>252</v>
      </c>
      <c r="Y1" s="145" t="s">
        <v>253</v>
      </c>
      <c r="Z1" s="146" t="s">
        <v>254</v>
      </c>
      <c r="AA1" s="147" t="s">
        <v>255</v>
      </c>
    </row>
    <row r="2" spans="1:27" ht="15" customHeight="1" x14ac:dyDescent="0.25">
      <c r="A2" t="s">
        <v>229</v>
      </c>
      <c r="B2">
        <v>2</v>
      </c>
      <c r="C2" t="s">
        <v>127</v>
      </c>
      <c r="D2" t="s">
        <v>127</v>
      </c>
      <c r="E2" s="107">
        <v>1</v>
      </c>
      <c r="F2" t="s">
        <v>233</v>
      </c>
      <c r="G2" t="s">
        <v>233</v>
      </c>
      <c r="H2" s="3">
        <v>100</v>
      </c>
      <c r="I2" s="3">
        <v>100</v>
      </c>
      <c r="J2" s="106"/>
      <c r="K2" s="3">
        <v>100</v>
      </c>
      <c r="L2" s="1" t="s">
        <v>88</v>
      </c>
      <c r="M2" s="1">
        <v>4</v>
      </c>
      <c r="N2" s="1">
        <v>4</v>
      </c>
      <c r="O2" s="3">
        <v>100</v>
      </c>
      <c r="P2" s="110" t="s">
        <v>88</v>
      </c>
      <c r="Q2" s="103"/>
      <c r="R2" s="1">
        <v>7</v>
      </c>
      <c r="S2" s="1">
        <v>7</v>
      </c>
      <c r="T2" s="1" t="s">
        <v>87</v>
      </c>
      <c r="U2" s="3">
        <v>100</v>
      </c>
      <c r="V2" s="107">
        <v>1</v>
      </c>
      <c r="W2" s="1">
        <v>7</v>
      </c>
      <c r="X2" s="1">
        <v>7</v>
      </c>
      <c r="Y2" s="110" t="s">
        <v>87</v>
      </c>
      <c r="Z2" s="109">
        <f>(W2/X2)*100</f>
        <v>100</v>
      </c>
      <c r="AA2" s="6"/>
    </row>
    <row r="3" spans="1:27" ht="15" customHeight="1" x14ac:dyDescent="0.25">
      <c r="A3" t="s">
        <v>229</v>
      </c>
      <c r="B3">
        <v>3</v>
      </c>
      <c r="C3" t="s">
        <v>179</v>
      </c>
      <c r="D3" t="s">
        <v>179</v>
      </c>
      <c r="E3" s="107">
        <v>1</v>
      </c>
      <c r="F3" t="s">
        <v>232</v>
      </c>
      <c r="G3" t="s">
        <v>232</v>
      </c>
      <c r="H3" s="3">
        <v>100</v>
      </c>
      <c r="I3" s="3">
        <v>100</v>
      </c>
      <c r="J3" s="106"/>
      <c r="K3" s="3">
        <v>100</v>
      </c>
      <c r="L3" s="1" t="s">
        <v>88</v>
      </c>
      <c r="M3" s="1">
        <v>4</v>
      </c>
      <c r="N3" s="1">
        <v>4</v>
      </c>
      <c r="O3" s="3">
        <v>100</v>
      </c>
      <c r="P3" s="110" t="s">
        <v>88</v>
      </c>
      <c r="Q3" s="103"/>
      <c r="R3" s="1">
        <v>4</v>
      </c>
      <c r="S3" s="1">
        <v>4</v>
      </c>
      <c r="T3" s="1" t="s">
        <v>88</v>
      </c>
      <c r="U3" s="3">
        <v>100</v>
      </c>
      <c r="V3" s="107">
        <v>3</v>
      </c>
      <c r="W3" s="1">
        <v>4</v>
      </c>
      <c r="X3" s="1">
        <v>4</v>
      </c>
      <c r="Y3" s="110" t="s">
        <v>88</v>
      </c>
      <c r="Z3" s="109">
        <f>(W3/X3)*100</f>
        <v>100</v>
      </c>
      <c r="AA3" s="6"/>
    </row>
    <row r="4" spans="1:27" ht="15" customHeight="1" x14ac:dyDescent="0.25">
      <c r="A4" t="s">
        <v>229</v>
      </c>
      <c r="B4">
        <v>4</v>
      </c>
      <c r="C4" t="s">
        <v>179</v>
      </c>
      <c r="D4" t="s">
        <v>179</v>
      </c>
      <c r="E4" s="107">
        <v>1</v>
      </c>
      <c r="F4" t="s">
        <v>231</v>
      </c>
      <c r="G4" t="s">
        <v>231</v>
      </c>
      <c r="H4" s="3">
        <v>100</v>
      </c>
      <c r="I4" s="3">
        <v>100</v>
      </c>
      <c r="J4" s="106"/>
      <c r="K4" s="3">
        <v>100</v>
      </c>
      <c r="L4" s="1" t="s">
        <v>88</v>
      </c>
      <c r="M4" s="1">
        <v>4</v>
      </c>
      <c r="N4" s="1">
        <v>4</v>
      </c>
      <c r="O4" s="3">
        <v>100</v>
      </c>
      <c r="P4" s="110" t="s">
        <v>88</v>
      </c>
      <c r="Q4" s="103"/>
      <c r="R4" s="1">
        <v>2</v>
      </c>
      <c r="S4" s="1">
        <v>2</v>
      </c>
      <c r="T4" s="1" t="s">
        <v>89</v>
      </c>
      <c r="U4" s="3">
        <v>100</v>
      </c>
      <c r="V4" s="107">
        <v>4</v>
      </c>
      <c r="W4" s="1">
        <v>2</v>
      </c>
      <c r="X4" s="1">
        <v>2</v>
      </c>
      <c r="Y4" s="110" t="s">
        <v>89</v>
      </c>
      <c r="Z4" s="109">
        <f>(W4/X4)*100</f>
        <v>100</v>
      </c>
      <c r="AA4" s="6"/>
    </row>
    <row r="5" spans="1:27" ht="15" customHeight="1" x14ac:dyDescent="0.25">
      <c r="A5" t="s">
        <v>229</v>
      </c>
      <c r="B5">
        <v>5</v>
      </c>
      <c r="C5" t="s">
        <v>179</v>
      </c>
      <c r="D5" t="s">
        <v>179</v>
      </c>
      <c r="E5" s="107">
        <v>1</v>
      </c>
      <c r="F5" t="s">
        <v>230</v>
      </c>
      <c r="G5" t="s">
        <v>230</v>
      </c>
      <c r="H5" s="3">
        <v>100</v>
      </c>
      <c r="I5" s="3">
        <v>100</v>
      </c>
      <c r="J5" s="106"/>
      <c r="K5" s="3">
        <v>100</v>
      </c>
      <c r="L5" s="1" t="s">
        <v>88</v>
      </c>
      <c r="M5" s="1">
        <v>4</v>
      </c>
      <c r="N5" s="1">
        <v>4</v>
      </c>
      <c r="O5" s="3">
        <v>100</v>
      </c>
      <c r="P5" s="110" t="s">
        <v>88</v>
      </c>
      <c r="Q5" s="103"/>
      <c r="R5" s="1">
        <v>4</v>
      </c>
      <c r="S5" s="1">
        <v>4</v>
      </c>
      <c r="T5" s="1" t="s">
        <v>88</v>
      </c>
      <c r="U5" s="3">
        <v>100</v>
      </c>
      <c r="V5" s="107">
        <v>4</v>
      </c>
      <c r="W5" s="1">
        <v>4</v>
      </c>
      <c r="X5" s="1">
        <v>4</v>
      </c>
      <c r="Y5" s="110" t="s">
        <v>88</v>
      </c>
      <c r="Z5" s="109">
        <f>(W5/X5)*100</f>
        <v>100</v>
      </c>
      <c r="AA5" s="6"/>
    </row>
    <row r="6" spans="1:27" ht="15" customHeight="1" x14ac:dyDescent="0.25">
      <c r="A6" t="s">
        <v>229</v>
      </c>
      <c r="B6" s="108">
        <v>6</v>
      </c>
      <c r="C6" t="s">
        <v>127</v>
      </c>
      <c r="D6" t="s">
        <v>127</v>
      </c>
      <c r="E6" s="107">
        <v>1</v>
      </c>
      <c r="F6" t="s">
        <v>228</v>
      </c>
      <c r="G6" t="s">
        <v>228</v>
      </c>
      <c r="H6" s="3">
        <v>100</v>
      </c>
      <c r="I6" s="3">
        <v>100</v>
      </c>
      <c r="J6" s="106"/>
      <c r="K6" s="3">
        <v>75</v>
      </c>
      <c r="L6" s="1" t="s">
        <v>101</v>
      </c>
      <c r="M6" s="1">
        <v>3</v>
      </c>
      <c r="N6" s="1">
        <v>4</v>
      </c>
      <c r="O6" s="3">
        <v>75</v>
      </c>
      <c r="P6" s="110" t="s">
        <v>101</v>
      </c>
      <c r="Q6" s="103" t="s">
        <v>227</v>
      </c>
      <c r="R6" s="120">
        <v>3</v>
      </c>
      <c r="S6" s="120">
        <v>3</v>
      </c>
      <c r="T6" s="120" t="s">
        <v>90</v>
      </c>
      <c r="U6" s="102">
        <v>100</v>
      </c>
      <c r="V6" s="121">
        <v>0</v>
      </c>
      <c r="W6" s="120">
        <v>3</v>
      </c>
      <c r="X6" s="120">
        <v>3</v>
      </c>
      <c r="Y6" s="119" t="s">
        <v>90</v>
      </c>
      <c r="Z6" s="118">
        <f>(W6/X6)*100</f>
        <v>100</v>
      </c>
      <c r="AA6" s="100"/>
    </row>
    <row r="7" spans="1:27" ht="15" customHeight="1" x14ac:dyDescent="0.25">
      <c r="A7" s="116" t="s">
        <v>224</v>
      </c>
      <c r="B7">
        <v>2</v>
      </c>
      <c r="C7" s="116" t="s">
        <v>136</v>
      </c>
      <c r="D7" s="116" t="s">
        <v>136</v>
      </c>
      <c r="E7" s="117">
        <v>1</v>
      </c>
      <c r="F7" s="116" t="s">
        <v>153</v>
      </c>
      <c r="G7" s="116" t="s">
        <v>153</v>
      </c>
      <c r="H7" s="114">
        <v>100</v>
      </c>
      <c r="I7" s="114">
        <v>100</v>
      </c>
      <c r="J7" s="96"/>
      <c r="K7" s="114">
        <v>100</v>
      </c>
      <c r="L7" s="115" t="s">
        <v>89</v>
      </c>
      <c r="M7" s="115">
        <v>2</v>
      </c>
      <c r="N7" s="115">
        <v>2</v>
      </c>
      <c r="O7" s="114">
        <v>100</v>
      </c>
      <c r="P7" s="113" t="s">
        <v>89</v>
      </c>
      <c r="Q7" s="122"/>
      <c r="R7" s="1">
        <v>4</v>
      </c>
      <c r="S7" s="1">
        <v>4</v>
      </c>
      <c r="T7" s="1" t="s">
        <v>88</v>
      </c>
      <c r="U7" s="3">
        <v>100</v>
      </c>
      <c r="V7" s="107">
        <v>4</v>
      </c>
      <c r="W7" s="1">
        <v>4</v>
      </c>
      <c r="X7" s="1">
        <v>4</v>
      </c>
      <c r="Y7" s="110" t="s">
        <v>88</v>
      </c>
      <c r="Z7" s="109">
        <f>(W7/X7)*100</f>
        <v>100</v>
      </c>
      <c r="AA7" s="6"/>
    </row>
    <row r="8" spans="1:27" ht="15" customHeight="1" x14ac:dyDescent="0.25">
      <c r="A8" t="s">
        <v>224</v>
      </c>
      <c r="B8">
        <v>3</v>
      </c>
      <c r="C8" t="s">
        <v>136</v>
      </c>
      <c r="D8" t="s">
        <v>136</v>
      </c>
      <c r="E8" s="107">
        <v>1</v>
      </c>
      <c r="F8" t="s">
        <v>153</v>
      </c>
      <c r="G8" t="s">
        <v>153</v>
      </c>
      <c r="H8" s="3">
        <v>100</v>
      </c>
      <c r="I8" s="3">
        <v>100</v>
      </c>
      <c r="J8" s="106"/>
      <c r="K8" s="3">
        <v>100</v>
      </c>
      <c r="L8" s="1" t="s">
        <v>89</v>
      </c>
      <c r="M8" s="1">
        <v>2</v>
      </c>
      <c r="N8" s="1">
        <v>2</v>
      </c>
      <c r="O8" s="3">
        <v>100</v>
      </c>
      <c r="P8" s="110" t="s">
        <v>89</v>
      </c>
      <c r="Q8" s="103"/>
      <c r="R8" s="1">
        <v>2</v>
      </c>
      <c r="S8" s="1">
        <v>3</v>
      </c>
      <c r="T8" s="1" t="s">
        <v>94</v>
      </c>
      <c r="U8" s="3">
        <v>66.666666666666657</v>
      </c>
      <c r="V8" s="107">
        <v>3</v>
      </c>
      <c r="W8" s="105">
        <v>3</v>
      </c>
      <c r="X8" s="1">
        <v>3</v>
      </c>
      <c r="Y8" s="110" t="s">
        <v>90</v>
      </c>
      <c r="Z8" s="109">
        <f>(W8/X8)*100</f>
        <v>100</v>
      </c>
      <c r="AA8" s="126" t="s">
        <v>226</v>
      </c>
    </row>
    <row r="9" spans="1:27" ht="15" customHeight="1" x14ac:dyDescent="0.25">
      <c r="A9" t="s">
        <v>224</v>
      </c>
      <c r="B9">
        <v>4</v>
      </c>
      <c r="C9" t="s">
        <v>179</v>
      </c>
      <c r="D9" t="s">
        <v>179</v>
      </c>
      <c r="E9" s="107">
        <v>1</v>
      </c>
      <c r="F9" t="s">
        <v>225</v>
      </c>
      <c r="G9" t="s">
        <v>225</v>
      </c>
      <c r="H9" s="3">
        <v>100</v>
      </c>
      <c r="I9" s="3">
        <v>100</v>
      </c>
      <c r="J9" s="106"/>
      <c r="K9" s="3">
        <v>100</v>
      </c>
      <c r="L9" s="1" t="s">
        <v>88</v>
      </c>
      <c r="M9" s="1">
        <v>4</v>
      </c>
      <c r="N9" s="1">
        <v>4</v>
      </c>
      <c r="O9" s="3">
        <v>100</v>
      </c>
      <c r="P9" s="110" t="s">
        <v>88</v>
      </c>
      <c r="Q9" s="103"/>
      <c r="R9" s="1">
        <v>3</v>
      </c>
      <c r="S9" s="1">
        <v>3</v>
      </c>
      <c r="T9" s="1" t="s">
        <v>90</v>
      </c>
      <c r="U9" s="3">
        <v>100</v>
      </c>
      <c r="V9" s="107">
        <v>7</v>
      </c>
      <c r="W9" s="1">
        <v>3</v>
      </c>
      <c r="X9" s="1">
        <v>3</v>
      </c>
      <c r="Y9" s="110" t="s">
        <v>90</v>
      </c>
      <c r="Z9" s="109">
        <f>(W9/X9)*100</f>
        <v>100</v>
      </c>
      <c r="AA9" s="6"/>
    </row>
    <row r="10" spans="1:27" ht="15" customHeight="1" x14ac:dyDescent="0.25">
      <c r="A10" t="s">
        <v>224</v>
      </c>
      <c r="B10" s="108">
        <v>6</v>
      </c>
      <c r="C10" t="s">
        <v>127</v>
      </c>
      <c r="D10" t="s">
        <v>127</v>
      </c>
      <c r="E10" s="107">
        <v>1</v>
      </c>
      <c r="F10" t="s">
        <v>223</v>
      </c>
      <c r="G10" t="s">
        <v>223</v>
      </c>
      <c r="H10" s="3">
        <v>100</v>
      </c>
      <c r="I10" s="3">
        <v>100</v>
      </c>
      <c r="J10" s="106"/>
      <c r="K10" s="3">
        <v>100</v>
      </c>
      <c r="L10" s="1" t="s">
        <v>88</v>
      </c>
      <c r="M10" s="1">
        <v>4</v>
      </c>
      <c r="N10" s="1">
        <v>4</v>
      </c>
      <c r="O10" s="3">
        <v>100</v>
      </c>
      <c r="P10" s="110" t="s">
        <v>88</v>
      </c>
      <c r="Q10" s="103"/>
      <c r="R10" s="120">
        <v>1</v>
      </c>
      <c r="S10" s="120">
        <v>1</v>
      </c>
      <c r="T10" s="120" t="s">
        <v>91</v>
      </c>
      <c r="U10" s="102">
        <v>100</v>
      </c>
      <c r="V10" s="121">
        <v>7</v>
      </c>
      <c r="W10" s="120">
        <v>1</v>
      </c>
      <c r="X10" s="120">
        <v>1</v>
      </c>
      <c r="Y10" s="119" t="s">
        <v>91</v>
      </c>
      <c r="Z10" s="118">
        <f>(W10/X10)*100</f>
        <v>100</v>
      </c>
      <c r="AA10" s="100"/>
    </row>
    <row r="11" spans="1:27" ht="15" customHeight="1" x14ac:dyDescent="0.25">
      <c r="A11" s="116" t="s">
        <v>210</v>
      </c>
      <c r="B11">
        <v>2</v>
      </c>
      <c r="C11" s="116" t="s">
        <v>127</v>
      </c>
      <c r="D11" s="116" t="s">
        <v>127</v>
      </c>
      <c r="E11" s="117">
        <v>1</v>
      </c>
      <c r="F11" s="116" t="s">
        <v>222</v>
      </c>
      <c r="G11" s="116" t="s">
        <v>221</v>
      </c>
      <c r="H11" s="114">
        <v>100</v>
      </c>
      <c r="I11" s="114">
        <v>100</v>
      </c>
      <c r="J11" s="96"/>
      <c r="K11" s="114">
        <v>100</v>
      </c>
      <c r="L11" s="115" t="s">
        <v>88</v>
      </c>
      <c r="M11" s="115">
        <v>4</v>
      </c>
      <c r="N11" s="115">
        <v>4</v>
      </c>
      <c r="O11" s="114">
        <v>100</v>
      </c>
      <c r="P11" s="113" t="s">
        <v>88</v>
      </c>
      <c r="Q11" s="122"/>
      <c r="R11" s="1">
        <v>9</v>
      </c>
      <c r="S11" s="1">
        <v>9</v>
      </c>
      <c r="T11" s="1" t="s">
        <v>92</v>
      </c>
      <c r="U11" s="3">
        <v>100</v>
      </c>
      <c r="V11" s="107">
        <v>7</v>
      </c>
      <c r="W11" s="1">
        <v>9</v>
      </c>
      <c r="X11" s="1">
        <v>9</v>
      </c>
      <c r="Y11" s="110" t="s">
        <v>92</v>
      </c>
      <c r="Z11" s="109">
        <f>(W11/X11)*100</f>
        <v>100</v>
      </c>
      <c r="AA11" s="6"/>
    </row>
    <row r="12" spans="1:27" ht="15" customHeight="1" x14ac:dyDescent="0.25">
      <c r="A12" t="s">
        <v>210</v>
      </c>
      <c r="B12">
        <v>3</v>
      </c>
      <c r="C12" t="s">
        <v>136</v>
      </c>
      <c r="D12" t="s">
        <v>136</v>
      </c>
      <c r="E12" s="107">
        <v>1</v>
      </c>
      <c r="F12" t="s">
        <v>183</v>
      </c>
      <c r="G12" t="s">
        <v>183</v>
      </c>
      <c r="H12" s="3">
        <v>100</v>
      </c>
      <c r="I12" s="3">
        <v>100</v>
      </c>
      <c r="J12" s="106"/>
      <c r="K12" s="3">
        <v>100</v>
      </c>
      <c r="L12" s="1" t="s">
        <v>89</v>
      </c>
      <c r="M12" s="1">
        <v>2</v>
      </c>
      <c r="N12" s="1">
        <v>2</v>
      </c>
      <c r="O12" s="3">
        <v>100</v>
      </c>
      <c r="P12" s="110" t="s">
        <v>89</v>
      </c>
      <c r="Q12" s="103"/>
      <c r="R12" s="1">
        <v>2</v>
      </c>
      <c r="S12" s="1">
        <v>2</v>
      </c>
      <c r="T12" s="1" t="s">
        <v>89</v>
      </c>
      <c r="U12" s="3">
        <v>100</v>
      </c>
      <c r="V12" s="107">
        <v>2</v>
      </c>
      <c r="W12" s="1">
        <v>2</v>
      </c>
      <c r="X12" s="1">
        <v>2</v>
      </c>
      <c r="Y12" s="110" t="s">
        <v>89</v>
      </c>
      <c r="Z12" s="109">
        <f>(W12/X12)*100</f>
        <v>100</v>
      </c>
      <c r="AA12" s="6"/>
    </row>
    <row r="13" spans="1:27" ht="15" customHeight="1" x14ac:dyDescent="0.25">
      <c r="A13" t="s">
        <v>210</v>
      </c>
      <c r="B13">
        <v>4</v>
      </c>
      <c r="C13" t="s">
        <v>136</v>
      </c>
      <c r="D13" t="s">
        <v>136</v>
      </c>
      <c r="E13" s="107">
        <v>1</v>
      </c>
      <c r="F13" t="s">
        <v>220</v>
      </c>
      <c r="G13" t="s">
        <v>219</v>
      </c>
      <c r="H13" s="3">
        <v>87.5</v>
      </c>
      <c r="I13" s="111">
        <v>100</v>
      </c>
      <c r="J13" s="106" t="s">
        <v>218</v>
      </c>
      <c r="K13" s="3">
        <v>100</v>
      </c>
      <c r="L13" s="1" t="s">
        <v>89</v>
      </c>
      <c r="M13" s="1">
        <v>2</v>
      </c>
      <c r="N13" s="1">
        <v>2</v>
      </c>
      <c r="O13" s="3">
        <v>100</v>
      </c>
      <c r="P13" s="110" t="s">
        <v>89</v>
      </c>
      <c r="Q13" s="103"/>
      <c r="R13" s="1">
        <v>1</v>
      </c>
      <c r="S13" s="1">
        <v>2</v>
      </c>
      <c r="T13" s="1" t="s">
        <v>96</v>
      </c>
      <c r="U13" s="3">
        <v>50</v>
      </c>
      <c r="V13" s="107">
        <v>5</v>
      </c>
      <c r="W13" s="105">
        <v>2</v>
      </c>
      <c r="X13" s="1">
        <v>2</v>
      </c>
      <c r="Y13" s="110" t="s">
        <v>89</v>
      </c>
      <c r="Z13" s="109">
        <f>(W13/X13)*100</f>
        <v>100</v>
      </c>
      <c r="AA13" s="126" t="s">
        <v>217</v>
      </c>
    </row>
    <row r="14" spans="1:27" ht="15" customHeight="1" x14ac:dyDescent="0.25">
      <c r="A14" t="s">
        <v>210</v>
      </c>
      <c r="B14">
        <v>5</v>
      </c>
      <c r="C14" t="s">
        <v>136</v>
      </c>
      <c r="D14" t="s">
        <v>136</v>
      </c>
      <c r="E14" s="107">
        <v>1</v>
      </c>
      <c r="F14" t="s">
        <v>216</v>
      </c>
      <c r="G14" t="s">
        <v>215</v>
      </c>
      <c r="H14" s="3">
        <v>100</v>
      </c>
      <c r="I14" s="3">
        <v>100</v>
      </c>
      <c r="J14" s="106"/>
      <c r="K14" s="3">
        <v>100</v>
      </c>
      <c r="L14" s="1" t="s">
        <v>89</v>
      </c>
      <c r="M14" s="1">
        <v>2</v>
      </c>
      <c r="N14" s="1">
        <v>2</v>
      </c>
      <c r="O14" s="3">
        <v>100</v>
      </c>
      <c r="P14" s="110" t="s">
        <v>89</v>
      </c>
      <c r="Q14" s="103"/>
      <c r="R14" s="1">
        <v>1</v>
      </c>
      <c r="S14" s="1">
        <v>2</v>
      </c>
      <c r="T14" s="1" t="s">
        <v>96</v>
      </c>
      <c r="U14" s="3">
        <v>50</v>
      </c>
      <c r="V14" s="107">
        <v>8</v>
      </c>
      <c r="W14" s="105">
        <v>2</v>
      </c>
      <c r="X14" s="1">
        <v>2</v>
      </c>
      <c r="Y14" s="110" t="s">
        <v>89</v>
      </c>
      <c r="Z14" s="109">
        <f>(W14/X14)*100</f>
        <v>100</v>
      </c>
      <c r="AA14" s="126" t="s">
        <v>214</v>
      </c>
    </row>
    <row r="15" spans="1:27" ht="15" customHeight="1" x14ac:dyDescent="0.25">
      <c r="A15" t="s">
        <v>210</v>
      </c>
      <c r="B15">
        <v>6</v>
      </c>
      <c r="C15" t="s">
        <v>136</v>
      </c>
      <c r="D15" t="s">
        <v>136</v>
      </c>
      <c r="E15" s="107">
        <v>1</v>
      </c>
      <c r="F15" t="s">
        <v>213</v>
      </c>
      <c r="G15" t="s">
        <v>213</v>
      </c>
      <c r="H15" s="3">
        <v>100</v>
      </c>
      <c r="I15" s="3">
        <v>100</v>
      </c>
      <c r="J15" s="106"/>
      <c r="K15" s="3">
        <v>83.33</v>
      </c>
      <c r="L15" s="1" t="s">
        <v>172</v>
      </c>
      <c r="M15" s="1">
        <v>5</v>
      </c>
      <c r="N15" s="105">
        <v>5</v>
      </c>
      <c r="O15" s="3">
        <v>100</v>
      </c>
      <c r="P15" s="104" t="s">
        <v>95</v>
      </c>
      <c r="Q15" s="103" t="s">
        <v>212</v>
      </c>
      <c r="R15" s="1">
        <v>4</v>
      </c>
      <c r="S15" s="1">
        <v>4</v>
      </c>
      <c r="T15" s="1" t="s">
        <v>88</v>
      </c>
      <c r="U15" s="3">
        <v>100</v>
      </c>
      <c r="V15" s="107">
        <v>4</v>
      </c>
      <c r="W15" s="1">
        <v>4</v>
      </c>
      <c r="X15" s="1">
        <v>4</v>
      </c>
      <c r="Y15" s="110" t="s">
        <v>88</v>
      </c>
      <c r="Z15" s="109">
        <f>(W15/X15)*100</f>
        <v>100</v>
      </c>
      <c r="AA15" s="6"/>
    </row>
    <row r="16" spans="1:27" ht="15" customHeight="1" x14ac:dyDescent="0.25">
      <c r="A16" t="s">
        <v>210</v>
      </c>
      <c r="B16">
        <v>7</v>
      </c>
      <c r="C16" t="s">
        <v>136</v>
      </c>
      <c r="D16" t="s">
        <v>136</v>
      </c>
      <c r="E16" s="107">
        <v>1</v>
      </c>
      <c r="F16" t="s">
        <v>134</v>
      </c>
      <c r="G16" t="s">
        <v>134</v>
      </c>
      <c r="H16" s="3">
        <v>100</v>
      </c>
      <c r="I16" s="3">
        <v>100</v>
      </c>
      <c r="J16" s="106"/>
      <c r="K16" s="3">
        <v>100</v>
      </c>
      <c r="L16" s="1" t="s">
        <v>89</v>
      </c>
      <c r="M16" s="1">
        <v>2</v>
      </c>
      <c r="N16" s="1">
        <v>2</v>
      </c>
      <c r="O16" s="3">
        <v>100</v>
      </c>
      <c r="P16" s="110" t="s">
        <v>89</v>
      </c>
      <c r="Q16" s="103"/>
      <c r="R16" s="1">
        <v>3</v>
      </c>
      <c r="S16" s="1">
        <v>3</v>
      </c>
      <c r="T16" s="1" t="s">
        <v>90</v>
      </c>
      <c r="U16" s="3">
        <v>100</v>
      </c>
      <c r="V16" s="107">
        <v>5</v>
      </c>
      <c r="W16" s="1">
        <v>3</v>
      </c>
      <c r="X16" s="1">
        <v>3</v>
      </c>
      <c r="Y16" s="110" t="s">
        <v>90</v>
      </c>
      <c r="Z16" s="109">
        <f>(W16/X16)*100</f>
        <v>100</v>
      </c>
      <c r="AA16" s="6"/>
    </row>
    <row r="17" spans="1:27" ht="15" customHeight="1" x14ac:dyDescent="0.25">
      <c r="A17" t="s">
        <v>210</v>
      </c>
      <c r="B17">
        <v>8</v>
      </c>
      <c r="C17" t="s">
        <v>127</v>
      </c>
      <c r="D17" t="s">
        <v>127</v>
      </c>
      <c r="E17" s="107">
        <v>1</v>
      </c>
      <c r="F17" t="s">
        <v>211</v>
      </c>
      <c r="G17" t="s">
        <v>211</v>
      </c>
      <c r="H17" s="3">
        <v>100</v>
      </c>
      <c r="I17" s="3">
        <v>100</v>
      </c>
      <c r="J17" s="106"/>
      <c r="K17" s="3">
        <v>100</v>
      </c>
      <c r="L17" s="1" t="s">
        <v>88</v>
      </c>
      <c r="M17" s="1">
        <v>4</v>
      </c>
      <c r="N17" s="1">
        <v>4</v>
      </c>
      <c r="O17" s="3">
        <v>100</v>
      </c>
      <c r="P17" s="110" t="s">
        <v>88</v>
      </c>
      <c r="Q17" s="103"/>
      <c r="R17" s="1">
        <v>2</v>
      </c>
      <c r="S17" s="1">
        <v>2</v>
      </c>
      <c r="T17" s="1" t="s">
        <v>89</v>
      </c>
      <c r="U17" s="3">
        <v>100</v>
      </c>
      <c r="V17" s="107">
        <v>5</v>
      </c>
      <c r="W17" s="1">
        <v>2</v>
      </c>
      <c r="X17" s="1">
        <v>2</v>
      </c>
      <c r="Y17" s="110" t="s">
        <v>89</v>
      </c>
      <c r="Z17" s="109">
        <f>(W17/X17)*100</f>
        <v>100</v>
      </c>
      <c r="AA17" s="6"/>
    </row>
    <row r="18" spans="1:27" ht="15" customHeight="1" x14ac:dyDescent="0.25">
      <c r="A18" t="s">
        <v>210</v>
      </c>
      <c r="B18" s="108">
        <v>9</v>
      </c>
      <c r="C18" t="s">
        <v>136</v>
      </c>
      <c r="D18" t="s">
        <v>136</v>
      </c>
      <c r="E18" s="107">
        <v>1</v>
      </c>
      <c r="F18" t="s">
        <v>183</v>
      </c>
      <c r="G18" t="s">
        <v>183</v>
      </c>
      <c r="H18" s="3">
        <v>100</v>
      </c>
      <c r="I18" s="3">
        <v>100</v>
      </c>
      <c r="J18" s="106"/>
      <c r="K18" s="3">
        <v>100</v>
      </c>
      <c r="L18" s="1" t="s">
        <v>89</v>
      </c>
      <c r="M18" s="1">
        <v>2</v>
      </c>
      <c r="N18" s="1">
        <v>2</v>
      </c>
      <c r="O18" s="3">
        <v>100</v>
      </c>
      <c r="P18" s="110" t="s">
        <v>89</v>
      </c>
      <c r="Q18" s="103"/>
      <c r="R18" s="120">
        <v>2</v>
      </c>
      <c r="S18" s="120">
        <v>2</v>
      </c>
      <c r="T18" s="120" t="s">
        <v>89</v>
      </c>
      <c r="U18" s="102">
        <v>100</v>
      </c>
      <c r="V18" s="121">
        <v>2</v>
      </c>
      <c r="W18" s="120">
        <v>2</v>
      </c>
      <c r="X18" s="120">
        <v>2</v>
      </c>
      <c r="Y18" s="119" t="s">
        <v>89</v>
      </c>
      <c r="Z18" s="118">
        <f>(W18/X18)*100</f>
        <v>100</v>
      </c>
      <c r="AA18" s="100"/>
    </row>
    <row r="19" spans="1:27" ht="15" customHeight="1" x14ac:dyDescent="0.25">
      <c r="A19" s="116" t="s">
        <v>204</v>
      </c>
      <c r="B19">
        <v>2</v>
      </c>
      <c r="C19" s="116" t="s">
        <v>136</v>
      </c>
      <c r="D19" s="116" t="s">
        <v>136</v>
      </c>
      <c r="E19" s="117">
        <v>1</v>
      </c>
      <c r="F19" s="116" t="s">
        <v>209</v>
      </c>
      <c r="G19" s="116" t="s">
        <v>209</v>
      </c>
      <c r="H19" s="114">
        <v>100</v>
      </c>
      <c r="I19" s="114">
        <v>100</v>
      </c>
      <c r="J19" s="96"/>
      <c r="K19" s="114">
        <v>100</v>
      </c>
      <c r="L19" s="115" t="s">
        <v>89</v>
      </c>
      <c r="M19" s="115">
        <v>2</v>
      </c>
      <c r="N19" s="115">
        <v>2</v>
      </c>
      <c r="O19" s="114">
        <v>100</v>
      </c>
      <c r="P19" s="113" t="s">
        <v>89</v>
      </c>
      <c r="Q19" s="122"/>
      <c r="R19" s="1">
        <v>7</v>
      </c>
      <c r="S19" s="1">
        <v>7</v>
      </c>
      <c r="T19" s="1" t="s">
        <v>87</v>
      </c>
      <c r="U19" s="3">
        <v>100</v>
      </c>
      <c r="V19" s="107">
        <v>4</v>
      </c>
      <c r="W19" s="1">
        <v>7</v>
      </c>
      <c r="X19" s="1">
        <v>7</v>
      </c>
      <c r="Y19" s="110" t="s">
        <v>87</v>
      </c>
      <c r="Z19" s="109">
        <f>(W19/X19)*100</f>
        <v>100</v>
      </c>
      <c r="AA19" s="6"/>
    </row>
    <row r="20" spans="1:27" ht="15" customHeight="1" x14ac:dyDescent="0.25">
      <c r="A20" t="s">
        <v>204</v>
      </c>
      <c r="B20">
        <v>3</v>
      </c>
      <c r="C20" t="s">
        <v>127</v>
      </c>
      <c r="D20" t="s">
        <v>127</v>
      </c>
      <c r="E20" s="107">
        <v>1</v>
      </c>
      <c r="F20" t="s">
        <v>148</v>
      </c>
      <c r="G20" t="s">
        <v>148</v>
      </c>
      <c r="H20" s="3">
        <v>100</v>
      </c>
      <c r="I20" s="3">
        <v>100</v>
      </c>
      <c r="J20" s="106"/>
      <c r="K20" s="3">
        <v>100</v>
      </c>
      <c r="L20" s="1" t="s">
        <v>88</v>
      </c>
      <c r="M20" s="1">
        <v>4</v>
      </c>
      <c r="N20" s="1">
        <v>4</v>
      </c>
      <c r="O20" s="3">
        <v>100</v>
      </c>
      <c r="P20" s="110" t="s">
        <v>88</v>
      </c>
      <c r="Q20" s="103"/>
      <c r="R20" s="1">
        <v>3</v>
      </c>
      <c r="S20" s="1">
        <v>3</v>
      </c>
      <c r="T20" s="1" t="s">
        <v>90</v>
      </c>
      <c r="U20" s="3">
        <v>100</v>
      </c>
      <c r="V20" s="107">
        <v>6</v>
      </c>
      <c r="W20" s="1">
        <v>3</v>
      </c>
      <c r="X20" s="1">
        <v>3</v>
      </c>
      <c r="Y20" s="110" t="s">
        <v>90</v>
      </c>
      <c r="Z20" s="109">
        <f>(W20/X20)*100</f>
        <v>100</v>
      </c>
      <c r="AA20" s="6"/>
    </row>
    <row r="21" spans="1:27" ht="15" customHeight="1" x14ac:dyDescent="0.25">
      <c r="A21" t="s">
        <v>204</v>
      </c>
      <c r="B21">
        <v>4</v>
      </c>
      <c r="C21" t="s">
        <v>136</v>
      </c>
      <c r="D21" t="s">
        <v>136</v>
      </c>
      <c r="E21" s="107">
        <v>1</v>
      </c>
      <c r="F21" t="s">
        <v>208</v>
      </c>
      <c r="G21" t="s">
        <v>208</v>
      </c>
      <c r="H21" s="3">
        <v>100</v>
      </c>
      <c r="I21" s="3">
        <v>100</v>
      </c>
      <c r="J21" s="106"/>
      <c r="K21" s="3">
        <v>100</v>
      </c>
      <c r="L21" s="1" t="s">
        <v>89</v>
      </c>
      <c r="M21" s="1">
        <v>2</v>
      </c>
      <c r="N21" s="1">
        <v>2</v>
      </c>
      <c r="O21" s="3">
        <v>100</v>
      </c>
      <c r="P21" s="110" t="s">
        <v>89</v>
      </c>
      <c r="Q21" s="103"/>
      <c r="R21" s="1">
        <v>0</v>
      </c>
      <c r="S21" s="1">
        <v>2</v>
      </c>
      <c r="T21" s="1" t="s">
        <v>207</v>
      </c>
      <c r="U21" s="3">
        <v>0</v>
      </c>
      <c r="V21" s="107">
        <v>0</v>
      </c>
      <c r="W21" s="105">
        <v>2</v>
      </c>
      <c r="X21" s="1">
        <v>2</v>
      </c>
      <c r="Y21" s="110" t="s">
        <v>89</v>
      </c>
      <c r="Z21" s="109">
        <f>(W21/X21)*100</f>
        <v>100</v>
      </c>
      <c r="AA21" s="123" t="s">
        <v>206</v>
      </c>
    </row>
    <row r="22" spans="1:27" ht="15" customHeight="1" x14ac:dyDescent="0.25">
      <c r="A22" t="s">
        <v>204</v>
      </c>
      <c r="B22">
        <v>5</v>
      </c>
      <c r="C22" t="s">
        <v>136</v>
      </c>
      <c r="D22" t="s">
        <v>136</v>
      </c>
      <c r="E22" s="107">
        <v>1</v>
      </c>
      <c r="F22" t="s">
        <v>205</v>
      </c>
      <c r="G22" t="s">
        <v>205</v>
      </c>
      <c r="H22" s="3">
        <v>100</v>
      </c>
      <c r="I22" s="3">
        <v>100</v>
      </c>
      <c r="J22" s="106"/>
      <c r="K22" s="3">
        <v>100</v>
      </c>
      <c r="L22" s="1" t="s">
        <v>89</v>
      </c>
      <c r="M22" s="1">
        <v>2</v>
      </c>
      <c r="N22" s="1">
        <v>2</v>
      </c>
      <c r="O22" s="3">
        <v>100</v>
      </c>
      <c r="P22" s="110" t="s">
        <v>89</v>
      </c>
      <c r="Q22" s="106"/>
      <c r="R22" s="1">
        <v>2</v>
      </c>
      <c r="S22" s="1">
        <v>2</v>
      </c>
      <c r="T22" s="1" t="s">
        <v>89</v>
      </c>
      <c r="U22" s="3">
        <v>100</v>
      </c>
      <c r="V22" s="107">
        <v>3</v>
      </c>
      <c r="W22" s="1">
        <v>2</v>
      </c>
      <c r="X22" s="1">
        <v>2</v>
      </c>
      <c r="Y22" s="110" t="s">
        <v>89</v>
      </c>
      <c r="Z22" s="109">
        <f>(W22/X22)*100</f>
        <v>100</v>
      </c>
      <c r="AA22" s="6"/>
    </row>
    <row r="23" spans="1:27" ht="15" customHeight="1" x14ac:dyDescent="0.25">
      <c r="A23" t="s">
        <v>204</v>
      </c>
      <c r="B23" s="108">
        <v>6</v>
      </c>
      <c r="C23" t="s">
        <v>127</v>
      </c>
      <c r="D23" t="s">
        <v>127</v>
      </c>
      <c r="E23" s="107">
        <v>1</v>
      </c>
      <c r="F23" t="s">
        <v>203</v>
      </c>
      <c r="G23" t="s">
        <v>202</v>
      </c>
      <c r="H23" s="3">
        <v>60</v>
      </c>
      <c r="I23" s="111">
        <v>100</v>
      </c>
      <c r="J23" s="106" t="s">
        <v>201</v>
      </c>
      <c r="K23" s="3">
        <v>25</v>
      </c>
      <c r="L23" s="1" t="s">
        <v>125</v>
      </c>
      <c r="M23" s="105">
        <v>3</v>
      </c>
      <c r="N23" s="105">
        <v>3</v>
      </c>
      <c r="O23" s="3">
        <v>100</v>
      </c>
      <c r="P23" s="104" t="s">
        <v>90</v>
      </c>
      <c r="Q23" s="129" t="s">
        <v>200</v>
      </c>
      <c r="R23" s="120">
        <v>0</v>
      </c>
      <c r="S23" s="120">
        <v>0</v>
      </c>
      <c r="T23" s="120" t="s">
        <v>93</v>
      </c>
      <c r="U23" s="102">
        <v>100</v>
      </c>
      <c r="V23" s="121">
        <v>2</v>
      </c>
      <c r="W23" s="120">
        <v>0</v>
      </c>
      <c r="X23" s="120">
        <v>0</v>
      </c>
      <c r="Y23" s="119" t="s">
        <v>93</v>
      </c>
      <c r="Z23" s="118">
        <v>100</v>
      </c>
      <c r="AA23" s="100"/>
    </row>
    <row r="24" spans="1:27" ht="15" customHeight="1" x14ac:dyDescent="0.25">
      <c r="A24" s="116" t="s">
        <v>188</v>
      </c>
      <c r="B24">
        <v>2</v>
      </c>
      <c r="C24" s="116" t="s">
        <v>127</v>
      </c>
      <c r="D24" s="116" t="s">
        <v>127</v>
      </c>
      <c r="E24" s="117">
        <v>1</v>
      </c>
      <c r="F24" s="116" t="s">
        <v>199</v>
      </c>
      <c r="G24" s="116" t="s">
        <v>199</v>
      </c>
      <c r="H24" s="114">
        <v>100</v>
      </c>
      <c r="I24" s="114">
        <v>100</v>
      </c>
      <c r="J24" s="96"/>
      <c r="K24" s="114">
        <v>50</v>
      </c>
      <c r="L24" s="115" t="s">
        <v>97</v>
      </c>
      <c r="M24" s="128">
        <v>3</v>
      </c>
      <c r="N24" s="128">
        <v>3</v>
      </c>
      <c r="O24" s="114">
        <v>100</v>
      </c>
      <c r="P24" s="127" t="s">
        <v>90</v>
      </c>
      <c r="Q24" s="122" t="s">
        <v>124</v>
      </c>
      <c r="R24" s="1">
        <v>0</v>
      </c>
      <c r="S24" s="1">
        <v>0</v>
      </c>
      <c r="T24" s="1" t="s">
        <v>93</v>
      </c>
      <c r="U24" s="3">
        <v>100</v>
      </c>
      <c r="V24" s="107">
        <v>10</v>
      </c>
      <c r="W24" s="1">
        <v>0</v>
      </c>
      <c r="X24" s="1">
        <v>0</v>
      </c>
      <c r="Y24" s="110" t="s">
        <v>93</v>
      </c>
      <c r="Z24" s="112">
        <v>100</v>
      </c>
      <c r="AA24" s="6"/>
    </row>
    <row r="25" spans="1:27" ht="15" customHeight="1" x14ac:dyDescent="0.25">
      <c r="A25" t="s">
        <v>188</v>
      </c>
      <c r="B25">
        <v>3</v>
      </c>
      <c r="C25" t="s">
        <v>136</v>
      </c>
      <c r="D25" t="s">
        <v>136</v>
      </c>
      <c r="E25" s="107">
        <v>1</v>
      </c>
      <c r="F25" t="s">
        <v>198</v>
      </c>
      <c r="G25" t="s">
        <v>198</v>
      </c>
      <c r="H25" s="3">
        <v>100</v>
      </c>
      <c r="I25" s="3">
        <v>100</v>
      </c>
      <c r="J25" s="106"/>
      <c r="K25" s="3">
        <v>100</v>
      </c>
      <c r="L25" s="1" t="s">
        <v>89</v>
      </c>
      <c r="M25" s="1">
        <v>2</v>
      </c>
      <c r="N25" s="1">
        <v>2</v>
      </c>
      <c r="O25" s="3">
        <v>100</v>
      </c>
      <c r="P25" s="110" t="s">
        <v>89</v>
      </c>
      <c r="Q25" s="103"/>
      <c r="R25" s="1">
        <v>2</v>
      </c>
      <c r="S25" s="1">
        <v>2</v>
      </c>
      <c r="T25" s="1" t="s">
        <v>89</v>
      </c>
      <c r="U25" s="3">
        <v>100</v>
      </c>
      <c r="V25" s="107">
        <v>5</v>
      </c>
      <c r="W25" s="1">
        <v>2</v>
      </c>
      <c r="X25" s="1">
        <v>2</v>
      </c>
      <c r="Y25" s="110" t="s">
        <v>89</v>
      </c>
      <c r="Z25" s="109">
        <f>(W25/X25)*100</f>
        <v>100</v>
      </c>
      <c r="AA25" s="6"/>
    </row>
    <row r="26" spans="1:27" ht="15" customHeight="1" x14ac:dyDescent="0.25">
      <c r="A26" t="s">
        <v>188</v>
      </c>
      <c r="B26">
        <v>4</v>
      </c>
      <c r="C26" t="s">
        <v>127</v>
      </c>
      <c r="D26" t="s">
        <v>127</v>
      </c>
      <c r="E26" s="107">
        <v>1</v>
      </c>
      <c r="F26" t="s">
        <v>197</v>
      </c>
      <c r="G26" t="s">
        <v>197</v>
      </c>
      <c r="H26" s="3">
        <v>100</v>
      </c>
      <c r="I26" s="3">
        <v>100</v>
      </c>
      <c r="J26" s="106"/>
      <c r="K26" s="3">
        <v>75</v>
      </c>
      <c r="L26" s="1" t="s">
        <v>101</v>
      </c>
      <c r="M26" s="1">
        <v>3</v>
      </c>
      <c r="N26" s="1">
        <v>4</v>
      </c>
      <c r="O26" s="3">
        <v>100</v>
      </c>
      <c r="P26" s="110" t="s">
        <v>88</v>
      </c>
      <c r="Q26" s="103"/>
      <c r="R26" s="1">
        <v>2</v>
      </c>
      <c r="S26" s="1">
        <v>3</v>
      </c>
      <c r="T26" s="1" t="s">
        <v>94</v>
      </c>
      <c r="U26" s="3">
        <v>66.666666666666657</v>
      </c>
      <c r="V26" s="107">
        <v>2</v>
      </c>
      <c r="W26" s="1">
        <v>2</v>
      </c>
      <c r="X26" s="1">
        <v>3</v>
      </c>
      <c r="Y26" s="110" t="s">
        <v>94</v>
      </c>
      <c r="Z26" s="109">
        <f>(W26/X26)*100</f>
        <v>66.666666666666657</v>
      </c>
      <c r="AA26" s="6" t="s">
        <v>196</v>
      </c>
    </row>
    <row r="27" spans="1:27" ht="15" customHeight="1" x14ac:dyDescent="0.25">
      <c r="A27" t="s">
        <v>188</v>
      </c>
      <c r="B27">
        <v>5</v>
      </c>
      <c r="C27" t="s">
        <v>35</v>
      </c>
      <c r="D27" t="s">
        <v>35</v>
      </c>
      <c r="E27" s="107">
        <v>1</v>
      </c>
      <c r="F27" t="s">
        <v>195</v>
      </c>
      <c r="G27" t="s">
        <v>194</v>
      </c>
      <c r="H27" s="3">
        <v>91.7</v>
      </c>
      <c r="I27" s="111">
        <v>100</v>
      </c>
      <c r="J27" s="106" t="s">
        <v>193</v>
      </c>
      <c r="K27" s="3">
        <v>80</v>
      </c>
      <c r="L27" s="1" t="s">
        <v>156</v>
      </c>
      <c r="M27" s="105">
        <v>5</v>
      </c>
      <c r="N27" s="1">
        <v>5</v>
      </c>
      <c r="O27" s="3">
        <v>100</v>
      </c>
      <c r="P27" s="104" t="s">
        <v>95</v>
      </c>
      <c r="Q27" s="103" t="s">
        <v>192</v>
      </c>
      <c r="R27" s="1">
        <v>0</v>
      </c>
      <c r="S27" s="1">
        <v>6</v>
      </c>
      <c r="T27" s="1" t="s">
        <v>191</v>
      </c>
      <c r="U27" s="3">
        <v>0</v>
      </c>
      <c r="V27" s="107">
        <v>8</v>
      </c>
      <c r="W27" s="105">
        <v>2</v>
      </c>
      <c r="X27" s="105">
        <v>2</v>
      </c>
      <c r="Y27" s="110" t="s">
        <v>89</v>
      </c>
      <c r="Z27" s="109">
        <f>(W27/X27)*100</f>
        <v>100</v>
      </c>
      <c r="AA27" s="123" t="s">
        <v>190</v>
      </c>
    </row>
    <row r="28" spans="1:27" ht="15" customHeight="1" x14ac:dyDescent="0.25">
      <c r="A28" t="s">
        <v>188</v>
      </c>
      <c r="B28">
        <v>6</v>
      </c>
      <c r="C28" t="s">
        <v>127</v>
      </c>
      <c r="D28" t="s">
        <v>127</v>
      </c>
      <c r="E28" s="107">
        <v>1</v>
      </c>
      <c r="F28" t="s">
        <v>189</v>
      </c>
      <c r="G28" t="s">
        <v>189</v>
      </c>
      <c r="H28" s="3">
        <v>100</v>
      </c>
      <c r="I28" s="3">
        <v>100</v>
      </c>
      <c r="J28" s="106"/>
      <c r="K28" s="3">
        <v>100</v>
      </c>
      <c r="L28" s="1" t="s">
        <v>88</v>
      </c>
      <c r="M28" s="1">
        <v>4</v>
      </c>
      <c r="N28" s="1">
        <v>4</v>
      </c>
      <c r="O28" s="3">
        <v>100</v>
      </c>
      <c r="P28" s="110" t="s">
        <v>88</v>
      </c>
      <c r="Q28" s="103"/>
      <c r="R28" s="1">
        <v>1</v>
      </c>
      <c r="S28" s="1">
        <v>1</v>
      </c>
      <c r="T28" s="1" t="s">
        <v>91</v>
      </c>
      <c r="U28" s="3">
        <v>100</v>
      </c>
      <c r="V28" s="107">
        <v>7</v>
      </c>
      <c r="W28" s="1">
        <v>1</v>
      </c>
      <c r="X28" s="1">
        <v>1</v>
      </c>
      <c r="Y28" s="110" t="s">
        <v>91</v>
      </c>
      <c r="Z28" s="109">
        <f>(W28/X28)*100</f>
        <v>100</v>
      </c>
      <c r="AA28" s="6"/>
    </row>
    <row r="29" spans="1:27" ht="15" customHeight="1" x14ac:dyDescent="0.25">
      <c r="A29" t="s">
        <v>188</v>
      </c>
      <c r="B29" s="108">
        <v>7</v>
      </c>
      <c r="C29" t="s">
        <v>127</v>
      </c>
      <c r="D29" t="s">
        <v>127</v>
      </c>
      <c r="E29" s="107">
        <v>1</v>
      </c>
      <c r="F29" t="s">
        <v>169</v>
      </c>
      <c r="G29" t="s">
        <v>169</v>
      </c>
      <c r="H29" s="3">
        <v>100</v>
      </c>
      <c r="I29" s="3">
        <v>100</v>
      </c>
      <c r="J29" s="106"/>
      <c r="K29" s="3">
        <v>100</v>
      </c>
      <c r="L29" s="1" t="s">
        <v>88</v>
      </c>
      <c r="M29" s="1">
        <v>4</v>
      </c>
      <c r="N29" s="1">
        <v>4</v>
      </c>
      <c r="O29" s="3">
        <v>100</v>
      </c>
      <c r="P29" s="110" t="s">
        <v>88</v>
      </c>
      <c r="Q29" s="103"/>
      <c r="R29" s="120">
        <v>4</v>
      </c>
      <c r="S29" s="120">
        <v>4</v>
      </c>
      <c r="T29" s="120" t="s">
        <v>88</v>
      </c>
      <c r="U29" s="102">
        <v>100</v>
      </c>
      <c r="V29" s="121">
        <v>4</v>
      </c>
      <c r="W29" s="120">
        <v>4</v>
      </c>
      <c r="X29" s="120">
        <v>4</v>
      </c>
      <c r="Y29" s="119" t="s">
        <v>88</v>
      </c>
      <c r="Z29" s="118">
        <f>(W29/X29)*100</f>
        <v>100</v>
      </c>
      <c r="AA29" s="100"/>
    </row>
    <row r="30" spans="1:27" ht="15" customHeight="1" x14ac:dyDescent="0.25">
      <c r="A30" s="116" t="s">
        <v>184</v>
      </c>
      <c r="B30">
        <v>2</v>
      </c>
      <c r="C30" s="116" t="s">
        <v>127</v>
      </c>
      <c r="D30" s="116" t="s">
        <v>127</v>
      </c>
      <c r="E30" s="117">
        <v>1</v>
      </c>
      <c r="F30" s="116" t="s">
        <v>187</v>
      </c>
      <c r="G30" s="116" t="s">
        <v>187</v>
      </c>
      <c r="H30" s="114">
        <v>100</v>
      </c>
      <c r="I30" s="114">
        <v>100</v>
      </c>
      <c r="J30" s="96"/>
      <c r="K30" s="114">
        <v>100</v>
      </c>
      <c r="L30" s="115" t="s">
        <v>88</v>
      </c>
      <c r="M30" s="115">
        <v>4</v>
      </c>
      <c r="N30" s="115">
        <v>4</v>
      </c>
      <c r="O30" s="114">
        <v>100</v>
      </c>
      <c r="P30" s="113" t="s">
        <v>88</v>
      </c>
      <c r="Q30" s="122"/>
      <c r="R30" s="1">
        <v>4</v>
      </c>
      <c r="S30" s="1">
        <v>4</v>
      </c>
      <c r="T30" s="1" t="s">
        <v>88</v>
      </c>
      <c r="U30" s="3">
        <v>100</v>
      </c>
      <c r="V30" s="107">
        <v>6</v>
      </c>
      <c r="W30" s="1">
        <v>4</v>
      </c>
      <c r="X30" s="1">
        <v>4</v>
      </c>
      <c r="Y30" s="110" t="s">
        <v>88</v>
      </c>
      <c r="Z30" s="109">
        <f>(W30/X30)*100</f>
        <v>100</v>
      </c>
      <c r="AA30" s="6"/>
    </row>
    <row r="31" spans="1:27" ht="15" customHeight="1" x14ac:dyDescent="0.25">
      <c r="A31" t="s">
        <v>184</v>
      </c>
      <c r="B31">
        <v>3</v>
      </c>
      <c r="C31" t="s">
        <v>136</v>
      </c>
      <c r="D31" t="s">
        <v>136</v>
      </c>
      <c r="E31" s="107">
        <v>1</v>
      </c>
      <c r="F31" t="s">
        <v>137</v>
      </c>
      <c r="G31" t="s">
        <v>137</v>
      </c>
      <c r="H31" s="3">
        <v>100</v>
      </c>
      <c r="I31" s="3">
        <v>100</v>
      </c>
      <c r="J31" s="106"/>
      <c r="K31" s="3">
        <v>100</v>
      </c>
      <c r="L31" s="1" t="s">
        <v>89</v>
      </c>
      <c r="M31" s="1">
        <v>2</v>
      </c>
      <c r="N31" s="1">
        <v>2</v>
      </c>
      <c r="O31" s="3">
        <v>100</v>
      </c>
      <c r="P31" s="110" t="s">
        <v>89</v>
      </c>
      <c r="Q31" s="103"/>
      <c r="R31" s="1">
        <v>4</v>
      </c>
      <c r="S31" s="1">
        <v>4</v>
      </c>
      <c r="T31" s="1" t="s">
        <v>88</v>
      </c>
      <c r="U31" s="3">
        <v>100</v>
      </c>
      <c r="V31" s="107">
        <v>2</v>
      </c>
      <c r="W31" s="1">
        <v>4</v>
      </c>
      <c r="X31" s="1">
        <v>4</v>
      </c>
      <c r="Y31" s="110" t="s">
        <v>88</v>
      </c>
      <c r="Z31" s="109">
        <f>(W31/X31)*100</f>
        <v>100</v>
      </c>
      <c r="AA31" s="6"/>
    </row>
    <row r="32" spans="1:27" ht="15" customHeight="1" x14ac:dyDescent="0.25">
      <c r="A32" t="s">
        <v>184</v>
      </c>
      <c r="B32">
        <v>4</v>
      </c>
      <c r="C32" t="s">
        <v>136</v>
      </c>
      <c r="D32" t="s">
        <v>136</v>
      </c>
      <c r="E32" s="107">
        <v>1</v>
      </c>
      <c r="F32" t="s">
        <v>183</v>
      </c>
      <c r="G32" t="s">
        <v>183</v>
      </c>
      <c r="H32" s="3">
        <v>100</v>
      </c>
      <c r="I32" s="3">
        <v>100</v>
      </c>
      <c r="J32" s="106"/>
      <c r="K32" s="3">
        <v>100</v>
      </c>
      <c r="L32" s="1" t="s">
        <v>89</v>
      </c>
      <c r="M32" s="1">
        <v>2</v>
      </c>
      <c r="N32" s="1">
        <v>2</v>
      </c>
      <c r="O32" s="3">
        <v>100</v>
      </c>
      <c r="P32" s="110" t="s">
        <v>89</v>
      </c>
      <c r="Q32" s="103"/>
      <c r="R32" s="1">
        <v>2</v>
      </c>
      <c r="S32" s="1">
        <v>2</v>
      </c>
      <c r="T32" s="1" t="s">
        <v>89</v>
      </c>
      <c r="U32" s="3">
        <v>100</v>
      </c>
      <c r="V32" s="107">
        <v>2</v>
      </c>
      <c r="W32" s="1">
        <v>2</v>
      </c>
      <c r="X32" s="1">
        <v>2</v>
      </c>
      <c r="Y32" s="110" t="s">
        <v>89</v>
      </c>
      <c r="Z32" s="109">
        <f>(W32/X32)*100</f>
        <v>100</v>
      </c>
      <c r="AA32" s="6"/>
    </row>
    <row r="33" spans="1:27" ht="15" customHeight="1" x14ac:dyDescent="0.25">
      <c r="A33" t="s">
        <v>184</v>
      </c>
      <c r="B33">
        <v>5</v>
      </c>
      <c r="C33" t="s">
        <v>136</v>
      </c>
      <c r="D33" t="s">
        <v>136</v>
      </c>
      <c r="E33" s="107">
        <v>1</v>
      </c>
      <c r="F33" t="s">
        <v>186</v>
      </c>
      <c r="G33" t="s">
        <v>186</v>
      </c>
      <c r="H33" s="3">
        <v>100</v>
      </c>
      <c r="I33" s="3">
        <v>100</v>
      </c>
      <c r="J33" s="106"/>
      <c r="K33" s="3">
        <v>100</v>
      </c>
      <c r="L33" s="1" t="s">
        <v>89</v>
      </c>
      <c r="M33" s="1">
        <v>2</v>
      </c>
      <c r="N33" s="1">
        <v>2</v>
      </c>
      <c r="O33" s="3">
        <v>100</v>
      </c>
      <c r="P33" s="110" t="s">
        <v>88</v>
      </c>
      <c r="Q33" s="103"/>
      <c r="R33" s="1">
        <v>2</v>
      </c>
      <c r="S33" s="1">
        <v>2</v>
      </c>
      <c r="T33" s="1" t="s">
        <v>89</v>
      </c>
      <c r="U33" s="3">
        <v>100</v>
      </c>
      <c r="V33" s="107">
        <v>0</v>
      </c>
      <c r="W33" s="1">
        <v>2</v>
      </c>
      <c r="X33" s="1">
        <v>2</v>
      </c>
      <c r="Y33" s="110" t="s">
        <v>89</v>
      </c>
      <c r="Z33" s="109">
        <f>(W33/X33)*100</f>
        <v>100</v>
      </c>
      <c r="AA33" s="6"/>
    </row>
    <row r="34" spans="1:27" ht="15" customHeight="1" x14ac:dyDescent="0.25">
      <c r="A34" t="s">
        <v>184</v>
      </c>
      <c r="B34">
        <v>6</v>
      </c>
      <c r="C34" t="s">
        <v>136</v>
      </c>
      <c r="D34" t="s">
        <v>136</v>
      </c>
      <c r="E34" s="107">
        <v>1</v>
      </c>
      <c r="F34" t="s">
        <v>185</v>
      </c>
      <c r="G34" t="s">
        <v>185</v>
      </c>
      <c r="H34" s="3">
        <v>100</v>
      </c>
      <c r="I34" s="3">
        <v>100</v>
      </c>
      <c r="J34" s="106"/>
      <c r="K34" s="3">
        <v>100</v>
      </c>
      <c r="L34" s="1" t="s">
        <v>89</v>
      </c>
      <c r="M34" s="1">
        <v>2</v>
      </c>
      <c r="N34" s="1">
        <v>2</v>
      </c>
      <c r="O34" s="3">
        <v>100</v>
      </c>
      <c r="P34" s="110" t="s">
        <v>88</v>
      </c>
      <c r="Q34" s="103"/>
      <c r="R34" s="1">
        <v>4</v>
      </c>
      <c r="S34" s="1">
        <v>4</v>
      </c>
      <c r="T34" s="1" t="s">
        <v>88</v>
      </c>
      <c r="U34" s="3">
        <v>100</v>
      </c>
      <c r="V34" s="107">
        <v>0</v>
      </c>
      <c r="W34" s="1">
        <v>4</v>
      </c>
      <c r="X34" s="1">
        <v>4</v>
      </c>
      <c r="Y34" s="110" t="s">
        <v>88</v>
      </c>
      <c r="Z34" s="109">
        <f>(W34/X34)*100</f>
        <v>100</v>
      </c>
      <c r="AA34" s="6"/>
    </row>
    <row r="35" spans="1:27" ht="15" customHeight="1" x14ac:dyDescent="0.25">
      <c r="A35" t="s">
        <v>184</v>
      </c>
      <c r="B35" s="108">
        <v>7</v>
      </c>
      <c r="C35" t="s">
        <v>136</v>
      </c>
      <c r="D35" t="s">
        <v>136</v>
      </c>
      <c r="E35" s="107">
        <v>1</v>
      </c>
      <c r="F35" t="s">
        <v>183</v>
      </c>
      <c r="G35" t="s">
        <v>183</v>
      </c>
      <c r="H35" s="3">
        <v>100</v>
      </c>
      <c r="I35" s="3">
        <v>100</v>
      </c>
      <c r="J35" s="106"/>
      <c r="K35" s="3">
        <v>100</v>
      </c>
      <c r="L35" s="1" t="s">
        <v>89</v>
      </c>
      <c r="M35" s="1">
        <v>2</v>
      </c>
      <c r="N35" s="1">
        <v>2</v>
      </c>
      <c r="O35" s="3">
        <v>100</v>
      </c>
      <c r="P35" s="110" t="s">
        <v>89</v>
      </c>
      <c r="Q35" s="103"/>
      <c r="R35" s="120">
        <v>2</v>
      </c>
      <c r="S35" s="120">
        <v>2</v>
      </c>
      <c r="T35" s="120" t="s">
        <v>89</v>
      </c>
      <c r="U35" s="102">
        <v>100</v>
      </c>
      <c r="V35" s="121">
        <v>2</v>
      </c>
      <c r="W35" s="120">
        <v>2</v>
      </c>
      <c r="X35" s="120">
        <v>2</v>
      </c>
      <c r="Y35" s="119" t="s">
        <v>89</v>
      </c>
      <c r="Z35" s="118">
        <f>(W35/X35)*100</f>
        <v>100</v>
      </c>
      <c r="AA35" s="100"/>
    </row>
    <row r="36" spans="1:27" ht="15" customHeight="1" x14ac:dyDescent="0.25">
      <c r="A36" s="116" t="s">
        <v>168</v>
      </c>
      <c r="B36">
        <v>10</v>
      </c>
      <c r="C36" s="116" t="s">
        <v>127</v>
      </c>
      <c r="D36" s="116" t="s">
        <v>127</v>
      </c>
      <c r="E36" s="117">
        <v>1</v>
      </c>
      <c r="F36" s="116" t="s">
        <v>151</v>
      </c>
      <c r="G36" s="116" t="s">
        <v>151</v>
      </c>
      <c r="H36" s="114">
        <v>100</v>
      </c>
      <c r="I36" s="114">
        <v>100</v>
      </c>
      <c r="J36" s="96"/>
      <c r="K36" s="114">
        <v>100</v>
      </c>
      <c r="L36" s="115" t="s">
        <v>88</v>
      </c>
      <c r="M36" s="115">
        <v>4</v>
      </c>
      <c r="N36" s="115">
        <v>4</v>
      </c>
      <c r="O36" s="114">
        <v>100</v>
      </c>
      <c r="P36" s="113" t="s">
        <v>88</v>
      </c>
      <c r="Q36" s="122"/>
      <c r="R36" s="1">
        <v>1</v>
      </c>
      <c r="S36" s="1">
        <v>1</v>
      </c>
      <c r="T36" s="1" t="s">
        <v>91</v>
      </c>
      <c r="U36" s="3">
        <v>100</v>
      </c>
      <c r="V36" s="107">
        <v>2</v>
      </c>
      <c r="W36" s="1">
        <v>1</v>
      </c>
      <c r="X36" s="1">
        <v>1</v>
      </c>
      <c r="Y36" s="110" t="s">
        <v>91</v>
      </c>
      <c r="Z36" s="109">
        <f>(W36/X36)*100</f>
        <v>100</v>
      </c>
      <c r="AA36" s="6"/>
    </row>
    <row r="37" spans="1:27" ht="15" customHeight="1" x14ac:dyDescent="0.25">
      <c r="A37" t="s">
        <v>168</v>
      </c>
      <c r="B37">
        <v>2</v>
      </c>
      <c r="C37" t="s">
        <v>136</v>
      </c>
      <c r="D37" t="s">
        <v>136</v>
      </c>
      <c r="E37" s="107">
        <v>1</v>
      </c>
      <c r="F37" t="s">
        <v>182</v>
      </c>
      <c r="G37" t="s">
        <v>181</v>
      </c>
      <c r="H37" s="3">
        <v>80</v>
      </c>
      <c r="I37" s="3">
        <v>80</v>
      </c>
      <c r="J37" s="106" t="s">
        <v>180</v>
      </c>
      <c r="K37" s="3">
        <v>100</v>
      </c>
      <c r="L37" s="1" t="s">
        <v>89</v>
      </c>
      <c r="M37" s="1">
        <v>2</v>
      </c>
      <c r="N37" s="1">
        <v>2</v>
      </c>
      <c r="O37" s="3">
        <v>100</v>
      </c>
      <c r="P37" s="110" t="s">
        <v>89</v>
      </c>
      <c r="Q37" s="103"/>
      <c r="R37" s="1">
        <v>2</v>
      </c>
      <c r="S37" s="1">
        <v>2</v>
      </c>
      <c r="T37" s="1" t="s">
        <v>89</v>
      </c>
      <c r="U37" s="3">
        <v>100</v>
      </c>
      <c r="V37" s="107">
        <v>2</v>
      </c>
      <c r="W37" s="1">
        <v>2</v>
      </c>
      <c r="X37" s="1">
        <v>2</v>
      </c>
      <c r="Y37" s="110" t="s">
        <v>89</v>
      </c>
      <c r="Z37" s="109">
        <f>(W37/X37)*100</f>
        <v>100</v>
      </c>
      <c r="AA37" s="6"/>
    </row>
    <row r="38" spans="1:27" ht="15" customHeight="1" x14ac:dyDescent="0.25">
      <c r="A38" t="s">
        <v>168</v>
      </c>
      <c r="B38">
        <v>3</v>
      </c>
      <c r="C38" t="s">
        <v>179</v>
      </c>
      <c r="D38" t="s">
        <v>179</v>
      </c>
      <c r="E38" s="107">
        <v>1</v>
      </c>
      <c r="F38" t="s">
        <v>178</v>
      </c>
      <c r="G38" t="s">
        <v>178</v>
      </c>
      <c r="H38" s="3">
        <v>100</v>
      </c>
      <c r="I38" s="3">
        <v>100</v>
      </c>
      <c r="J38" s="106"/>
      <c r="K38" s="3">
        <v>75</v>
      </c>
      <c r="L38" s="1" t="s">
        <v>101</v>
      </c>
      <c r="M38" s="1">
        <v>3</v>
      </c>
      <c r="N38" s="1">
        <v>4</v>
      </c>
      <c r="O38" s="3">
        <v>75</v>
      </c>
      <c r="P38" s="110" t="s">
        <v>101</v>
      </c>
      <c r="Q38" s="103" t="s">
        <v>177</v>
      </c>
      <c r="R38" s="1">
        <v>3</v>
      </c>
      <c r="S38" s="1">
        <v>4</v>
      </c>
      <c r="T38" s="1" t="s">
        <v>101</v>
      </c>
      <c r="U38" s="3">
        <v>75</v>
      </c>
      <c r="V38" s="107">
        <v>4</v>
      </c>
      <c r="W38" s="105">
        <v>4</v>
      </c>
      <c r="X38" s="1">
        <v>4</v>
      </c>
      <c r="Y38" s="110" t="s">
        <v>88</v>
      </c>
      <c r="Z38" s="109">
        <f>(W38/X38)*100</f>
        <v>100</v>
      </c>
      <c r="AA38" s="126" t="s">
        <v>176</v>
      </c>
    </row>
    <row r="39" spans="1:27" ht="15" customHeight="1" x14ac:dyDescent="0.25">
      <c r="A39" t="s">
        <v>168</v>
      </c>
      <c r="B39">
        <v>4</v>
      </c>
      <c r="C39" t="s">
        <v>136</v>
      </c>
      <c r="D39" t="s">
        <v>136</v>
      </c>
      <c r="E39" s="107">
        <v>1</v>
      </c>
      <c r="F39" t="s">
        <v>153</v>
      </c>
      <c r="G39" t="s">
        <v>153</v>
      </c>
      <c r="H39" s="3">
        <v>100</v>
      </c>
      <c r="I39" s="3">
        <v>100</v>
      </c>
      <c r="J39" s="106"/>
      <c r="K39" s="3">
        <v>100</v>
      </c>
      <c r="L39" s="1" t="s">
        <v>89</v>
      </c>
      <c r="M39" s="1">
        <v>2</v>
      </c>
      <c r="N39" s="1">
        <v>2</v>
      </c>
      <c r="O39" s="3">
        <v>100</v>
      </c>
      <c r="P39" s="110" t="s">
        <v>89</v>
      </c>
      <c r="Q39" s="103"/>
      <c r="R39" s="1">
        <v>2</v>
      </c>
      <c r="S39" s="1">
        <v>2</v>
      </c>
      <c r="T39" s="1" t="s">
        <v>89</v>
      </c>
      <c r="U39" s="3">
        <v>100</v>
      </c>
      <c r="V39" s="107">
        <v>6</v>
      </c>
      <c r="W39" s="1">
        <v>2</v>
      </c>
      <c r="X39" s="1">
        <v>2</v>
      </c>
      <c r="Y39" s="110" t="s">
        <v>89</v>
      </c>
      <c r="Z39" s="109">
        <f>(W39/X39)*100</f>
        <v>100</v>
      </c>
      <c r="AA39" s="6"/>
    </row>
    <row r="40" spans="1:27" ht="15" customHeight="1" x14ac:dyDescent="0.25">
      <c r="A40" t="s">
        <v>168</v>
      </c>
      <c r="B40">
        <v>5</v>
      </c>
      <c r="C40" t="s">
        <v>136</v>
      </c>
      <c r="D40" t="s">
        <v>136</v>
      </c>
      <c r="E40" s="107">
        <v>1</v>
      </c>
      <c r="F40" t="s">
        <v>175</v>
      </c>
      <c r="G40" t="s">
        <v>174</v>
      </c>
      <c r="H40" s="3">
        <v>88.9</v>
      </c>
      <c r="I40" s="111">
        <v>100</v>
      </c>
      <c r="J40" s="106" t="s">
        <v>173</v>
      </c>
      <c r="K40" s="3">
        <v>83.33</v>
      </c>
      <c r="L40" s="1" t="s">
        <v>172</v>
      </c>
      <c r="M40" s="1">
        <v>5</v>
      </c>
      <c r="N40" s="105">
        <v>5</v>
      </c>
      <c r="O40" s="3">
        <v>100</v>
      </c>
      <c r="P40" s="104" t="s">
        <v>95</v>
      </c>
      <c r="Q40" s="106" t="s">
        <v>171</v>
      </c>
      <c r="R40" s="1">
        <v>4</v>
      </c>
      <c r="S40" s="1">
        <v>4</v>
      </c>
      <c r="T40" s="1" t="s">
        <v>88</v>
      </c>
      <c r="U40" s="3">
        <v>100</v>
      </c>
      <c r="V40" s="107">
        <v>12</v>
      </c>
      <c r="W40" s="1">
        <v>4</v>
      </c>
      <c r="X40" s="1">
        <v>4</v>
      </c>
      <c r="Y40" s="110" t="s">
        <v>88</v>
      </c>
      <c r="Z40" s="109">
        <f>(W40/X40)*100</f>
        <v>100</v>
      </c>
      <c r="AA40" s="6"/>
    </row>
    <row r="41" spans="1:27" ht="15" customHeight="1" x14ac:dyDescent="0.25">
      <c r="A41" t="s">
        <v>168</v>
      </c>
      <c r="B41">
        <v>6</v>
      </c>
      <c r="C41" t="s">
        <v>136</v>
      </c>
      <c r="D41" t="s">
        <v>136</v>
      </c>
      <c r="E41" s="107">
        <v>1</v>
      </c>
      <c r="F41" t="s">
        <v>170</v>
      </c>
      <c r="G41" t="s">
        <v>170</v>
      </c>
      <c r="H41" s="3">
        <v>100</v>
      </c>
      <c r="I41" s="3">
        <v>100</v>
      </c>
      <c r="J41" s="106"/>
      <c r="K41" s="3">
        <v>100</v>
      </c>
      <c r="L41" s="1" t="s">
        <v>89</v>
      </c>
      <c r="M41" s="1">
        <v>2</v>
      </c>
      <c r="N41" s="1">
        <v>2</v>
      </c>
      <c r="O41" s="3">
        <v>100</v>
      </c>
      <c r="P41" s="110" t="s">
        <v>89</v>
      </c>
      <c r="Q41" s="103"/>
      <c r="R41" s="1">
        <v>4</v>
      </c>
      <c r="S41" s="1">
        <v>4</v>
      </c>
      <c r="T41" s="1" t="s">
        <v>88</v>
      </c>
      <c r="U41" s="3">
        <v>100</v>
      </c>
      <c r="V41" s="107">
        <v>10</v>
      </c>
      <c r="W41" s="1">
        <v>4</v>
      </c>
      <c r="X41" s="1">
        <v>4</v>
      </c>
      <c r="Y41" s="110" t="s">
        <v>88</v>
      </c>
      <c r="Z41" s="109">
        <f>(W41/X41)*100</f>
        <v>100</v>
      </c>
      <c r="AA41" s="6"/>
    </row>
    <row r="42" spans="1:27" ht="15" customHeight="1" x14ac:dyDescent="0.25">
      <c r="A42" t="s">
        <v>168</v>
      </c>
      <c r="B42">
        <v>7</v>
      </c>
      <c r="C42" t="s">
        <v>127</v>
      </c>
      <c r="D42" t="s">
        <v>127</v>
      </c>
      <c r="E42" s="107">
        <v>1</v>
      </c>
      <c r="F42" t="s">
        <v>132</v>
      </c>
      <c r="G42" t="s">
        <v>169</v>
      </c>
      <c r="H42" s="3">
        <v>100</v>
      </c>
      <c r="I42" s="3">
        <v>100</v>
      </c>
      <c r="J42" s="106"/>
      <c r="K42" s="3">
        <v>100</v>
      </c>
      <c r="L42" s="1" t="s">
        <v>88</v>
      </c>
      <c r="M42" s="1">
        <v>4</v>
      </c>
      <c r="N42" s="1">
        <v>4</v>
      </c>
      <c r="O42" s="3">
        <v>100</v>
      </c>
      <c r="P42" s="110" t="s">
        <v>88</v>
      </c>
      <c r="Q42" s="103"/>
      <c r="R42" s="1">
        <v>2</v>
      </c>
      <c r="S42" s="1">
        <v>3</v>
      </c>
      <c r="T42" s="1" t="s">
        <v>94</v>
      </c>
      <c r="U42" s="3">
        <v>66.666666666666657</v>
      </c>
      <c r="V42" s="107">
        <v>5</v>
      </c>
      <c r="W42" s="1">
        <v>2</v>
      </c>
      <c r="X42" s="1">
        <v>3</v>
      </c>
      <c r="Y42" s="110" t="s">
        <v>94</v>
      </c>
      <c r="Z42" s="109">
        <f>(W42/X42)*100</f>
        <v>66.666666666666657</v>
      </c>
      <c r="AA42" s="6" t="s">
        <v>152</v>
      </c>
    </row>
    <row r="43" spans="1:27" ht="15" customHeight="1" x14ac:dyDescent="0.25">
      <c r="A43" t="s">
        <v>168</v>
      </c>
      <c r="B43">
        <v>8</v>
      </c>
      <c r="C43" t="s">
        <v>136</v>
      </c>
      <c r="D43" t="s">
        <v>136</v>
      </c>
      <c r="E43" s="107">
        <v>1</v>
      </c>
      <c r="F43" t="s">
        <v>153</v>
      </c>
      <c r="G43" t="s">
        <v>153</v>
      </c>
      <c r="H43" s="3">
        <v>100</v>
      </c>
      <c r="I43" s="3">
        <v>100</v>
      </c>
      <c r="J43" s="106"/>
      <c r="K43" s="3">
        <v>100</v>
      </c>
      <c r="L43" s="1" t="s">
        <v>89</v>
      </c>
      <c r="M43" s="1">
        <v>2</v>
      </c>
      <c r="N43" s="1">
        <v>2</v>
      </c>
      <c r="O43" s="3">
        <v>100</v>
      </c>
      <c r="P43" s="110" t="s">
        <v>89</v>
      </c>
      <c r="Q43" s="103"/>
      <c r="R43" s="1">
        <v>2</v>
      </c>
      <c r="S43" s="1">
        <v>2</v>
      </c>
      <c r="T43" s="1" t="s">
        <v>89</v>
      </c>
      <c r="U43" s="3">
        <v>100</v>
      </c>
      <c r="V43" s="107">
        <v>4</v>
      </c>
      <c r="W43" s="1">
        <v>2</v>
      </c>
      <c r="X43" s="1">
        <v>2</v>
      </c>
      <c r="Y43" s="110" t="s">
        <v>89</v>
      </c>
      <c r="Z43" s="109">
        <f>(W43/X43)*100</f>
        <v>100</v>
      </c>
      <c r="AA43" s="6"/>
    </row>
    <row r="44" spans="1:27" ht="15" customHeight="1" x14ac:dyDescent="0.25">
      <c r="A44" t="s">
        <v>168</v>
      </c>
      <c r="B44" s="108">
        <v>9</v>
      </c>
      <c r="C44" t="s">
        <v>136</v>
      </c>
      <c r="D44" t="s">
        <v>136</v>
      </c>
      <c r="E44" s="107">
        <v>1</v>
      </c>
      <c r="F44" t="s">
        <v>167</v>
      </c>
      <c r="G44" t="s">
        <v>166</v>
      </c>
      <c r="H44" s="3">
        <v>92.3</v>
      </c>
      <c r="I44" s="111">
        <v>100</v>
      </c>
      <c r="J44" s="103" t="s">
        <v>165</v>
      </c>
      <c r="K44" s="3">
        <v>100</v>
      </c>
      <c r="L44" s="1" t="s">
        <v>89</v>
      </c>
      <c r="M44" s="1">
        <v>2</v>
      </c>
      <c r="N44" s="1">
        <v>2</v>
      </c>
      <c r="O44" s="3">
        <v>100</v>
      </c>
      <c r="P44" s="110" t="s">
        <v>89</v>
      </c>
      <c r="Q44" s="106"/>
      <c r="R44" s="120">
        <v>3</v>
      </c>
      <c r="S44" s="120">
        <v>5</v>
      </c>
      <c r="T44" s="120" t="s">
        <v>164</v>
      </c>
      <c r="U44" s="102">
        <v>60</v>
      </c>
      <c r="V44" s="121">
        <v>15</v>
      </c>
      <c r="W44" s="125">
        <v>5</v>
      </c>
      <c r="X44" s="120">
        <v>5</v>
      </c>
      <c r="Y44" s="119" t="s">
        <v>95</v>
      </c>
      <c r="Z44" s="118">
        <f>(W44/X44)*100</f>
        <v>100</v>
      </c>
      <c r="AA44" s="124" t="s">
        <v>154</v>
      </c>
    </row>
    <row r="45" spans="1:27" ht="15" customHeight="1" x14ac:dyDescent="0.25">
      <c r="A45" s="116" t="s">
        <v>149</v>
      </c>
      <c r="B45">
        <v>2</v>
      </c>
      <c r="C45" s="116" t="s">
        <v>127</v>
      </c>
      <c r="D45" s="116" t="s">
        <v>127</v>
      </c>
      <c r="E45" s="117">
        <v>1</v>
      </c>
      <c r="F45" s="116" t="s">
        <v>151</v>
      </c>
      <c r="G45" s="116" t="s">
        <v>151</v>
      </c>
      <c r="H45" s="114">
        <v>100</v>
      </c>
      <c r="I45" s="114">
        <v>100</v>
      </c>
      <c r="J45" s="96"/>
      <c r="K45" s="114">
        <v>100</v>
      </c>
      <c r="L45" s="115" t="s">
        <v>88</v>
      </c>
      <c r="M45" s="115">
        <v>4</v>
      </c>
      <c r="N45" s="115">
        <v>4</v>
      </c>
      <c r="O45" s="114">
        <v>100</v>
      </c>
      <c r="P45" s="113" t="s">
        <v>88</v>
      </c>
      <c r="Q45" s="122"/>
      <c r="R45" s="1">
        <v>2</v>
      </c>
      <c r="S45" s="1">
        <v>2</v>
      </c>
      <c r="T45" s="1" t="s">
        <v>89</v>
      </c>
      <c r="U45" s="3">
        <v>100</v>
      </c>
      <c r="V45" s="107">
        <v>1</v>
      </c>
      <c r="W45" s="1">
        <v>2</v>
      </c>
      <c r="X45" s="1">
        <v>2</v>
      </c>
      <c r="Y45" s="110" t="s">
        <v>89</v>
      </c>
      <c r="Z45" s="109">
        <f>(W45/X45)*100</f>
        <v>100</v>
      </c>
      <c r="AA45" s="6"/>
    </row>
    <row r="46" spans="1:27" ht="15" customHeight="1" x14ac:dyDescent="0.25">
      <c r="A46" t="s">
        <v>149</v>
      </c>
      <c r="B46">
        <v>3</v>
      </c>
      <c r="C46" t="s">
        <v>35</v>
      </c>
      <c r="D46" t="s">
        <v>35</v>
      </c>
      <c r="E46" s="107">
        <v>1</v>
      </c>
      <c r="F46" t="s">
        <v>163</v>
      </c>
      <c r="G46" t="s">
        <v>163</v>
      </c>
      <c r="H46" s="3">
        <v>100</v>
      </c>
      <c r="I46" s="3">
        <v>100</v>
      </c>
      <c r="J46" s="106"/>
      <c r="K46" s="3">
        <v>80</v>
      </c>
      <c r="L46" s="1" t="s">
        <v>156</v>
      </c>
      <c r="M46" s="105">
        <v>5</v>
      </c>
      <c r="N46" s="1">
        <v>5</v>
      </c>
      <c r="O46" s="3">
        <v>100</v>
      </c>
      <c r="P46" s="104" t="s">
        <v>95</v>
      </c>
      <c r="Q46" s="103" t="s">
        <v>162</v>
      </c>
      <c r="R46" s="1">
        <v>3</v>
      </c>
      <c r="S46" s="1">
        <v>3</v>
      </c>
      <c r="T46" s="1" t="s">
        <v>90</v>
      </c>
      <c r="U46" s="3">
        <v>100</v>
      </c>
      <c r="V46" s="107">
        <v>6</v>
      </c>
      <c r="W46" s="1">
        <v>3</v>
      </c>
      <c r="X46" s="1">
        <v>3</v>
      </c>
      <c r="Y46" s="110" t="s">
        <v>90</v>
      </c>
      <c r="Z46" s="109">
        <f>(W46/X46)*100</f>
        <v>100</v>
      </c>
      <c r="AA46" s="6"/>
    </row>
    <row r="47" spans="1:27" ht="15" customHeight="1" x14ac:dyDescent="0.25">
      <c r="A47" t="s">
        <v>149</v>
      </c>
      <c r="B47">
        <v>4</v>
      </c>
      <c r="C47" t="s">
        <v>127</v>
      </c>
      <c r="D47" t="s">
        <v>127</v>
      </c>
      <c r="E47" s="107">
        <v>1</v>
      </c>
      <c r="F47" t="s">
        <v>132</v>
      </c>
      <c r="G47" t="s">
        <v>151</v>
      </c>
      <c r="H47" s="3">
        <v>85.7</v>
      </c>
      <c r="I47" s="111">
        <v>100</v>
      </c>
      <c r="J47" s="106" t="s">
        <v>161</v>
      </c>
      <c r="K47" s="3">
        <v>75</v>
      </c>
      <c r="L47" s="1" t="s">
        <v>101</v>
      </c>
      <c r="M47" s="105">
        <v>4</v>
      </c>
      <c r="N47" s="1">
        <v>4</v>
      </c>
      <c r="O47" s="3">
        <v>100</v>
      </c>
      <c r="P47" s="104" t="s">
        <v>88</v>
      </c>
      <c r="Q47" s="103" t="s">
        <v>160</v>
      </c>
      <c r="R47" s="1">
        <v>4</v>
      </c>
      <c r="S47" s="1">
        <v>4</v>
      </c>
      <c r="T47" s="1" t="s">
        <v>88</v>
      </c>
      <c r="U47" s="3">
        <v>100</v>
      </c>
      <c r="V47" s="107">
        <v>3</v>
      </c>
      <c r="W47" s="1">
        <v>4</v>
      </c>
      <c r="X47" s="1">
        <v>4</v>
      </c>
      <c r="Y47" s="110" t="s">
        <v>88</v>
      </c>
      <c r="Z47" s="109">
        <f>(W47/X47)*100</f>
        <v>100</v>
      </c>
      <c r="AA47" s="6"/>
    </row>
    <row r="48" spans="1:27" ht="15" customHeight="1" x14ac:dyDescent="0.25">
      <c r="A48" t="s">
        <v>149</v>
      </c>
      <c r="B48">
        <v>5</v>
      </c>
      <c r="C48" t="s">
        <v>35</v>
      </c>
      <c r="D48" t="s">
        <v>35</v>
      </c>
      <c r="E48" s="107">
        <v>1</v>
      </c>
      <c r="F48" t="s">
        <v>159</v>
      </c>
      <c r="G48" t="s">
        <v>158</v>
      </c>
      <c r="H48" s="3">
        <v>75</v>
      </c>
      <c r="I48" s="111">
        <v>100</v>
      </c>
      <c r="J48" s="106" t="s">
        <v>157</v>
      </c>
      <c r="K48" s="3">
        <v>80</v>
      </c>
      <c r="L48" s="1" t="s">
        <v>156</v>
      </c>
      <c r="M48" s="1">
        <v>4</v>
      </c>
      <c r="N48" s="105">
        <v>4</v>
      </c>
      <c r="O48" s="3">
        <v>100</v>
      </c>
      <c r="P48" s="104" t="s">
        <v>88</v>
      </c>
      <c r="Q48" s="106" t="s">
        <v>155</v>
      </c>
      <c r="R48" s="1">
        <v>0</v>
      </c>
      <c r="S48" s="1">
        <v>0</v>
      </c>
      <c r="T48" s="1" t="s">
        <v>93</v>
      </c>
      <c r="U48" s="3">
        <v>100</v>
      </c>
      <c r="V48" s="107">
        <v>10</v>
      </c>
      <c r="W48" s="1">
        <v>0</v>
      </c>
      <c r="X48" s="1">
        <v>0</v>
      </c>
      <c r="Y48" s="110" t="s">
        <v>93</v>
      </c>
      <c r="Z48" s="112">
        <v>100</v>
      </c>
      <c r="AA48" s="6"/>
    </row>
    <row r="49" spans="1:27" ht="15" customHeight="1" x14ac:dyDescent="0.25">
      <c r="A49" t="s">
        <v>149</v>
      </c>
      <c r="B49">
        <v>6</v>
      </c>
      <c r="C49" t="s">
        <v>136</v>
      </c>
      <c r="D49" t="s">
        <v>136</v>
      </c>
      <c r="E49" s="107">
        <v>1</v>
      </c>
      <c r="F49" t="s">
        <v>137</v>
      </c>
      <c r="G49" t="s">
        <v>153</v>
      </c>
      <c r="H49" s="3">
        <v>100</v>
      </c>
      <c r="I49" s="3">
        <v>100</v>
      </c>
      <c r="J49" s="106"/>
      <c r="K49" s="3">
        <v>100</v>
      </c>
      <c r="L49" s="1" t="s">
        <v>89</v>
      </c>
      <c r="M49" s="1">
        <v>2</v>
      </c>
      <c r="N49" s="1">
        <v>2</v>
      </c>
      <c r="O49" s="3">
        <v>100</v>
      </c>
      <c r="P49" s="110" t="s">
        <v>89</v>
      </c>
      <c r="Q49" s="103"/>
      <c r="R49" s="1">
        <v>2</v>
      </c>
      <c r="S49" s="1">
        <v>4</v>
      </c>
      <c r="T49" s="1" t="s">
        <v>97</v>
      </c>
      <c r="U49" s="3">
        <v>50</v>
      </c>
      <c r="V49" s="107">
        <v>4</v>
      </c>
      <c r="W49" s="105">
        <v>4</v>
      </c>
      <c r="X49" s="1">
        <v>4</v>
      </c>
      <c r="Y49" s="110" t="s">
        <v>88</v>
      </c>
      <c r="Z49" s="109">
        <f>(W49/X49)*100</f>
        <v>100</v>
      </c>
      <c r="AA49" s="123" t="s">
        <v>154</v>
      </c>
    </row>
    <row r="50" spans="1:27" ht="15" customHeight="1" x14ac:dyDescent="0.25">
      <c r="A50" t="s">
        <v>149</v>
      </c>
      <c r="B50">
        <v>7</v>
      </c>
      <c r="C50" t="s">
        <v>136</v>
      </c>
      <c r="D50" t="s">
        <v>136</v>
      </c>
      <c r="E50" s="107">
        <v>1</v>
      </c>
      <c r="F50" t="s">
        <v>153</v>
      </c>
      <c r="G50" t="s">
        <v>153</v>
      </c>
      <c r="H50" s="3">
        <v>100</v>
      </c>
      <c r="I50" s="3">
        <v>100</v>
      </c>
      <c r="J50" s="106"/>
      <c r="K50" s="3">
        <v>100</v>
      </c>
      <c r="L50" s="1" t="s">
        <v>89</v>
      </c>
      <c r="M50" s="1">
        <v>2</v>
      </c>
      <c r="N50" s="1">
        <v>2</v>
      </c>
      <c r="O50" s="3">
        <v>100</v>
      </c>
      <c r="P50" s="110" t="s">
        <v>89</v>
      </c>
      <c r="Q50" s="103"/>
      <c r="R50" s="1">
        <v>1</v>
      </c>
      <c r="S50" s="1">
        <v>2</v>
      </c>
      <c r="T50" s="1" t="s">
        <v>96</v>
      </c>
      <c r="U50" s="3">
        <v>50</v>
      </c>
      <c r="V50" s="107">
        <v>2</v>
      </c>
      <c r="W50" s="1">
        <v>1</v>
      </c>
      <c r="X50" s="1">
        <v>2</v>
      </c>
      <c r="Y50" s="110" t="s">
        <v>96</v>
      </c>
      <c r="Z50" s="109">
        <f>(W50/X50)*100</f>
        <v>50</v>
      </c>
      <c r="AA50" s="6" t="s">
        <v>152</v>
      </c>
    </row>
    <row r="51" spans="1:27" ht="15" customHeight="1" x14ac:dyDescent="0.25">
      <c r="A51" t="s">
        <v>149</v>
      </c>
      <c r="B51">
        <v>8</v>
      </c>
      <c r="C51" t="s">
        <v>127</v>
      </c>
      <c r="D51" t="s">
        <v>127</v>
      </c>
      <c r="E51" s="107">
        <v>1</v>
      </c>
      <c r="F51" t="s">
        <v>132</v>
      </c>
      <c r="G51" t="s">
        <v>151</v>
      </c>
      <c r="H51" s="3">
        <v>85.7</v>
      </c>
      <c r="I51" s="111">
        <v>100</v>
      </c>
      <c r="J51" s="103" t="s">
        <v>150</v>
      </c>
      <c r="K51" s="3">
        <v>100</v>
      </c>
      <c r="L51" s="1" t="s">
        <v>88</v>
      </c>
      <c r="M51" s="1">
        <v>4</v>
      </c>
      <c r="N51" s="1">
        <v>4</v>
      </c>
      <c r="O51" s="3">
        <v>100</v>
      </c>
      <c r="P51" s="110" t="s">
        <v>88</v>
      </c>
      <c r="Q51" s="106"/>
      <c r="R51" s="1">
        <v>1</v>
      </c>
      <c r="S51" s="1">
        <v>1</v>
      </c>
      <c r="T51" s="1" t="s">
        <v>91</v>
      </c>
      <c r="U51" s="3">
        <v>100</v>
      </c>
      <c r="V51" s="107">
        <v>7</v>
      </c>
      <c r="W51" s="1">
        <v>1</v>
      </c>
      <c r="X51" s="1">
        <v>1</v>
      </c>
      <c r="Y51" s="110" t="s">
        <v>91</v>
      </c>
      <c r="Z51" s="109">
        <f>(W51/X51)*100</f>
        <v>100</v>
      </c>
      <c r="AA51" s="6"/>
    </row>
    <row r="52" spans="1:27" ht="15" customHeight="1" x14ac:dyDescent="0.25">
      <c r="A52" t="s">
        <v>149</v>
      </c>
      <c r="B52" s="108">
        <v>9</v>
      </c>
      <c r="C52" t="s">
        <v>127</v>
      </c>
      <c r="D52" t="s">
        <v>127</v>
      </c>
      <c r="E52" s="107">
        <v>1</v>
      </c>
      <c r="F52" t="s">
        <v>148</v>
      </c>
      <c r="G52" t="s">
        <v>148</v>
      </c>
      <c r="H52" s="3">
        <v>100</v>
      </c>
      <c r="I52" s="3">
        <v>100</v>
      </c>
      <c r="J52" s="103"/>
      <c r="K52" s="3">
        <v>100</v>
      </c>
      <c r="L52" s="1" t="s">
        <v>88</v>
      </c>
      <c r="M52" s="1">
        <v>4</v>
      </c>
      <c r="N52" s="1">
        <v>4</v>
      </c>
      <c r="O52" s="3">
        <v>100</v>
      </c>
      <c r="P52" s="110" t="s">
        <v>88</v>
      </c>
      <c r="Q52" s="106"/>
      <c r="R52" s="120">
        <v>0</v>
      </c>
      <c r="S52" s="120">
        <v>0</v>
      </c>
      <c r="T52" s="120" t="s">
        <v>93</v>
      </c>
      <c r="U52" s="102">
        <v>100</v>
      </c>
      <c r="V52" s="121">
        <v>8</v>
      </c>
      <c r="W52" s="120">
        <v>0</v>
      </c>
      <c r="X52" s="120">
        <v>0</v>
      </c>
      <c r="Y52" s="119" t="s">
        <v>93</v>
      </c>
      <c r="Z52" s="101">
        <v>100</v>
      </c>
      <c r="AA52" s="100"/>
    </row>
    <row r="53" spans="1:27" ht="15" customHeight="1" x14ac:dyDescent="0.25">
      <c r="A53" s="116" t="s">
        <v>141</v>
      </c>
      <c r="B53">
        <v>2</v>
      </c>
      <c r="C53" s="116" t="s">
        <v>136</v>
      </c>
      <c r="D53" s="116" t="s">
        <v>136</v>
      </c>
      <c r="E53" s="117">
        <v>1</v>
      </c>
      <c r="F53" s="116" t="s">
        <v>137</v>
      </c>
      <c r="G53" s="116" t="s">
        <v>137</v>
      </c>
      <c r="H53" s="114">
        <v>100</v>
      </c>
      <c r="I53" s="114">
        <v>100</v>
      </c>
      <c r="J53" s="96"/>
      <c r="K53" s="114">
        <v>100</v>
      </c>
      <c r="L53" s="115" t="s">
        <v>89</v>
      </c>
      <c r="M53" s="115">
        <v>2</v>
      </c>
      <c r="N53" s="115">
        <v>2</v>
      </c>
      <c r="O53" s="114">
        <v>100</v>
      </c>
      <c r="P53" s="113" t="s">
        <v>89</v>
      </c>
      <c r="Q53" s="122"/>
      <c r="R53" s="1">
        <v>2</v>
      </c>
      <c r="S53" s="1">
        <v>2</v>
      </c>
      <c r="T53" s="1" t="s">
        <v>89</v>
      </c>
      <c r="U53" s="3">
        <v>100</v>
      </c>
      <c r="V53" s="107">
        <v>2</v>
      </c>
      <c r="W53" s="1">
        <v>2</v>
      </c>
      <c r="X53" s="1">
        <v>2</v>
      </c>
      <c r="Y53" s="110" t="s">
        <v>89</v>
      </c>
      <c r="Z53" s="109">
        <f>(W53/X53)*100</f>
        <v>100</v>
      </c>
      <c r="AA53" s="6"/>
    </row>
    <row r="54" spans="1:27" ht="15" customHeight="1" x14ac:dyDescent="0.25">
      <c r="A54" t="s">
        <v>141</v>
      </c>
      <c r="B54">
        <v>3</v>
      </c>
      <c r="C54" t="s">
        <v>136</v>
      </c>
      <c r="D54" t="s">
        <v>136</v>
      </c>
      <c r="E54" s="107">
        <v>1</v>
      </c>
      <c r="F54" t="s">
        <v>147</v>
      </c>
      <c r="G54" t="s">
        <v>146</v>
      </c>
      <c r="H54" s="3">
        <v>83.3</v>
      </c>
      <c r="I54" s="111">
        <v>100</v>
      </c>
      <c r="J54" s="106" t="s">
        <v>145</v>
      </c>
      <c r="K54" s="3">
        <v>100</v>
      </c>
      <c r="L54" s="1" t="s">
        <v>88</v>
      </c>
      <c r="M54" s="1">
        <v>4</v>
      </c>
      <c r="N54" s="1">
        <v>4</v>
      </c>
      <c r="O54" s="3">
        <v>100</v>
      </c>
      <c r="P54" s="110" t="s">
        <v>89</v>
      </c>
      <c r="Q54" s="106"/>
      <c r="R54" s="1">
        <v>4</v>
      </c>
      <c r="S54" s="1">
        <v>4</v>
      </c>
      <c r="T54" s="1" t="s">
        <v>88</v>
      </c>
      <c r="U54" s="3">
        <v>100</v>
      </c>
      <c r="V54" s="107">
        <v>5</v>
      </c>
      <c r="W54" s="1">
        <v>4</v>
      </c>
      <c r="X54" s="1">
        <v>4</v>
      </c>
      <c r="Y54" s="110" t="s">
        <v>88</v>
      </c>
      <c r="Z54" s="109">
        <f>(W54/X54)*100</f>
        <v>100</v>
      </c>
      <c r="AA54" s="6"/>
    </row>
    <row r="55" spans="1:27" ht="15" customHeight="1" x14ac:dyDescent="0.25">
      <c r="A55" t="s">
        <v>141</v>
      </c>
      <c r="B55">
        <v>4</v>
      </c>
      <c r="C55" t="s">
        <v>136</v>
      </c>
      <c r="D55" t="s">
        <v>136</v>
      </c>
      <c r="E55" s="107">
        <v>1</v>
      </c>
      <c r="F55" t="s">
        <v>137</v>
      </c>
      <c r="G55" t="s">
        <v>137</v>
      </c>
      <c r="H55" s="3">
        <v>100</v>
      </c>
      <c r="I55" s="3">
        <v>100</v>
      </c>
      <c r="J55" s="106"/>
      <c r="K55" s="3">
        <v>100</v>
      </c>
      <c r="L55" s="1" t="s">
        <v>89</v>
      </c>
      <c r="M55" s="1">
        <v>2</v>
      </c>
      <c r="N55" s="1">
        <v>2</v>
      </c>
      <c r="O55" s="3">
        <v>100</v>
      </c>
      <c r="P55" s="110" t="s">
        <v>89</v>
      </c>
      <c r="Q55" s="106"/>
      <c r="R55" s="1">
        <v>2</v>
      </c>
      <c r="S55" s="1">
        <v>2</v>
      </c>
      <c r="T55" s="1" t="s">
        <v>89</v>
      </c>
      <c r="U55" s="3">
        <v>100</v>
      </c>
      <c r="V55" s="107">
        <v>4</v>
      </c>
      <c r="W55" s="1">
        <v>2</v>
      </c>
      <c r="X55" s="1">
        <v>2</v>
      </c>
      <c r="Y55" s="110" t="s">
        <v>89</v>
      </c>
      <c r="Z55" s="109">
        <f>(W55/X55)*100</f>
        <v>100</v>
      </c>
      <c r="AA55" s="6"/>
    </row>
    <row r="56" spans="1:27" ht="15" customHeight="1" x14ac:dyDescent="0.25">
      <c r="A56" t="s">
        <v>141</v>
      </c>
      <c r="B56">
        <v>5</v>
      </c>
      <c r="C56" t="s">
        <v>136</v>
      </c>
      <c r="D56" t="s">
        <v>136</v>
      </c>
      <c r="E56" s="107">
        <v>1</v>
      </c>
      <c r="F56" t="s">
        <v>144</v>
      </c>
      <c r="G56" t="s">
        <v>144</v>
      </c>
      <c r="H56" s="3">
        <v>100</v>
      </c>
      <c r="I56" s="3">
        <v>100</v>
      </c>
      <c r="J56" s="106"/>
      <c r="K56" s="3">
        <v>100</v>
      </c>
      <c r="L56" s="1" t="s">
        <v>88</v>
      </c>
      <c r="M56" s="1">
        <v>4</v>
      </c>
      <c r="N56" s="1">
        <v>4</v>
      </c>
      <c r="O56" s="3">
        <v>100</v>
      </c>
      <c r="P56" s="110" t="s">
        <v>88</v>
      </c>
      <c r="Q56" s="106"/>
      <c r="R56" s="1">
        <v>3</v>
      </c>
      <c r="S56" s="1">
        <v>3</v>
      </c>
      <c r="T56" s="1" t="s">
        <v>90</v>
      </c>
      <c r="U56" s="3">
        <v>100</v>
      </c>
      <c r="V56" s="107">
        <v>5</v>
      </c>
      <c r="W56" s="1">
        <v>3</v>
      </c>
      <c r="X56" s="1">
        <v>3</v>
      </c>
      <c r="Y56" s="110" t="s">
        <v>90</v>
      </c>
      <c r="Z56" s="109">
        <f>(W56/X56)*100</f>
        <v>100</v>
      </c>
      <c r="AA56" s="6"/>
    </row>
    <row r="57" spans="1:27" ht="15" customHeight="1" x14ac:dyDescent="0.25">
      <c r="A57" t="s">
        <v>141</v>
      </c>
      <c r="B57">
        <v>7</v>
      </c>
      <c r="C57" t="s">
        <v>136</v>
      </c>
      <c r="D57" t="s">
        <v>136</v>
      </c>
      <c r="E57" s="107">
        <v>1</v>
      </c>
      <c r="F57" t="s">
        <v>144</v>
      </c>
      <c r="G57" t="s">
        <v>143</v>
      </c>
      <c r="H57" s="3">
        <v>100</v>
      </c>
      <c r="I57" s="3">
        <v>100</v>
      </c>
      <c r="J57" s="106"/>
      <c r="K57" s="3">
        <v>100</v>
      </c>
      <c r="L57" s="1" t="s">
        <v>88</v>
      </c>
      <c r="M57" s="1">
        <v>4</v>
      </c>
      <c r="N57" s="1">
        <v>4</v>
      </c>
      <c r="O57" s="3">
        <v>100</v>
      </c>
      <c r="P57" s="110" t="s">
        <v>88</v>
      </c>
      <c r="Q57" s="106"/>
      <c r="R57" s="1">
        <v>2</v>
      </c>
      <c r="S57" s="1">
        <v>2</v>
      </c>
      <c r="T57" s="1" t="s">
        <v>89</v>
      </c>
      <c r="U57" s="3">
        <v>100</v>
      </c>
      <c r="V57" s="107">
        <v>3</v>
      </c>
      <c r="W57" s="1">
        <v>2</v>
      </c>
      <c r="X57" s="1">
        <v>2</v>
      </c>
      <c r="Y57" s="110" t="s">
        <v>89</v>
      </c>
      <c r="Z57" s="109">
        <f>(W57/X57)*100</f>
        <v>100</v>
      </c>
      <c r="AA57" s="6"/>
    </row>
    <row r="58" spans="1:27" ht="15" customHeight="1" x14ac:dyDescent="0.25">
      <c r="A58" t="s">
        <v>141</v>
      </c>
      <c r="B58">
        <v>8</v>
      </c>
      <c r="C58" t="s">
        <v>136</v>
      </c>
      <c r="D58" t="s">
        <v>136</v>
      </c>
      <c r="E58" s="107">
        <v>1</v>
      </c>
      <c r="F58" t="s">
        <v>142</v>
      </c>
      <c r="G58" t="s">
        <v>142</v>
      </c>
      <c r="H58" s="3">
        <v>100</v>
      </c>
      <c r="I58" s="3">
        <v>100</v>
      </c>
      <c r="J58" s="106"/>
      <c r="K58" s="3">
        <v>100</v>
      </c>
      <c r="L58" s="1" t="s">
        <v>89</v>
      </c>
      <c r="M58" s="1">
        <v>2</v>
      </c>
      <c r="N58" s="1">
        <v>2</v>
      </c>
      <c r="O58" s="3">
        <v>100</v>
      </c>
      <c r="P58" s="110" t="s">
        <v>88</v>
      </c>
      <c r="Q58" s="106"/>
      <c r="R58" s="1">
        <v>2</v>
      </c>
      <c r="S58" s="1">
        <v>2</v>
      </c>
      <c r="T58" s="1" t="s">
        <v>89</v>
      </c>
      <c r="U58" s="3">
        <v>100</v>
      </c>
      <c r="V58" s="107">
        <v>10</v>
      </c>
      <c r="W58" s="1">
        <v>2</v>
      </c>
      <c r="X58" s="1">
        <v>2</v>
      </c>
      <c r="Y58" s="110" t="s">
        <v>89</v>
      </c>
      <c r="Z58" s="109">
        <f>(W58/X58)*100</f>
        <v>100</v>
      </c>
      <c r="AA58" s="6"/>
    </row>
    <row r="59" spans="1:27" ht="15" customHeight="1" x14ac:dyDescent="0.25">
      <c r="A59" t="s">
        <v>141</v>
      </c>
      <c r="B59" s="108">
        <v>9</v>
      </c>
      <c r="C59" t="s">
        <v>136</v>
      </c>
      <c r="D59" t="s">
        <v>136</v>
      </c>
      <c r="E59" s="107">
        <v>1</v>
      </c>
      <c r="F59" t="s">
        <v>137</v>
      </c>
      <c r="G59" t="s">
        <v>137</v>
      </c>
      <c r="H59" s="3">
        <v>100</v>
      </c>
      <c r="I59" s="3">
        <v>100</v>
      </c>
      <c r="J59" s="106"/>
      <c r="K59" s="3">
        <v>100</v>
      </c>
      <c r="L59" s="1" t="s">
        <v>89</v>
      </c>
      <c r="M59" s="1">
        <v>2</v>
      </c>
      <c r="N59" s="1">
        <v>2</v>
      </c>
      <c r="O59" s="3">
        <v>100</v>
      </c>
      <c r="P59" s="110" t="s">
        <v>89</v>
      </c>
      <c r="Q59" s="106"/>
      <c r="R59" s="120">
        <v>2</v>
      </c>
      <c r="S59" s="120">
        <v>2</v>
      </c>
      <c r="T59" s="120" t="s">
        <v>89</v>
      </c>
      <c r="U59" s="102">
        <v>100</v>
      </c>
      <c r="V59" s="121">
        <v>3</v>
      </c>
      <c r="W59" s="120">
        <v>2</v>
      </c>
      <c r="X59" s="120">
        <v>2</v>
      </c>
      <c r="Y59" s="119" t="s">
        <v>89</v>
      </c>
      <c r="Z59" s="118">
        <f>(W59/X59)*100</f>
        <v>100</v>
      </c>
      <c r="AA59" s="100"/>
    </row>
    <row r="60" spans="1:27" ht="15" customHeight="1" x14ac:dyDescent="0.25">
      <c r="A60" s="116" t="s">
        <v>128</v>
      </c>
      <c r="B60">
        <v>10</v>
      </c>
      <c r="C60" s="116" t="s">
        <v>16</v>
      </c>
      <c r="D60" s="116" t="s">
        <v>16</v>
      </c>
      <c r="E60" s="117">
        <v>1</v>
      </c>
      <c r="F60" s="116" t="s">
        <v>140</v>
      </c>
      <c r="G60" s="116" t="s">
        <v>140</v>
      </c>
      <c r="H60" s="114">
        <v>100</v>
      </c>
      <c r="I60" s="114">
        <v>100</v>
      </c>
      <c r="J60" s="96"/>
      <c r="K60" s="114">
        <v>100</v>
      </c>
      <c r="L60" s="115" t="s">
        <v>88</v>
      </c>
      <c r="M60" s="115">
        <v>4</v>
      </c>
      <c r="N60" s="115">
        <v>4</v>
      </c>
      <c r="O60" s="114">
        <v>100</v>
      </c>
      <c r="P60" s="113" t="s">
        <v>88</v>
      </c>
      <c r="Q60" s="96"/>
      <c r="R60" s="1">
        <v>1</v>
      </c>
      <c r="S60" s="1">
        <v>1</v>
      </c>
      <c r="T60" s="1" t="s">
        <v>91</v>
      </c>
      <c r="U60" s="3">
        <v>100</v>
      </c>
      <c r="V60" s="107">
        <v>2</v>
      </c>
      <c r="W60" s="1">
        <v>1</v>
      </c>
      <c r="X60" s="1">
        <v>1</v>
      </c>
      <c r="Y60" s="110" t="s">
        <v>91</v>
      </c>
      <c r="Z60" s="109">
        <f>(W60/X60)*100</f>
        <v>100</v>
      </c>
      <c r="AA60" s="6"/>
    </row>
    <row r="61" spans="1:27" ht="15" customHeight="1" x14ac:dyDescent="0.25">
      <c r="A61" t="s">
        <v>128</v>
      </c>
      <c r="B61">
        <v>11</v>
      </c>
      <c r="C61" t="s">
        <v>127</v>
      </c>
      <c r="D61" t="s">
        <v>127</v>
      </c>
      <c r="E61" s="107">
        <v>1</v>
      </c>
      <c r="F61" t="s">
        <v>139</v>
      </c>
      <c r="G61" t="s">
        <v>139</v>
      </c>
      <c r="H61" s="3">
        <v>100</v>
      </c>
      <c r="I61" s="3">
        <v>100</v>
      </c>
      <c r="J61" s="106"/>
      <c r="K61" s="3">
        <v>75</v>
      </c>
      <c r="L61" s="1" t="s">
        <v>101</v>
      </c>
      <c r="M61" s="105">
        <v>4</v>
      </c>
      <c r="N61" s="1">
        <v>4</v>
      </c>
      <c r="O61" s="3">
        <v>100</v>
      </c>
      <c r="P61" s="104" t="s">
        <v>88</v>
      </c>
      <c r="Q61" s="106" t="s">
        <v>138</v>
      </c>
      <c r="R61" s="1">
        <v>0</v>
      </c>
      <c r="S61" s="1">
        <v>0</v>
      </c>
      <c r="T61" s="1" t="s">
        <v>93</v>
      </c>
      <c r="U61" s="3">
        <v>100</v>
      </c>
      <c r="V61" s="107">
        <v>4</v>
      </c>
      <c r="W61" s="1">
        <v>0</v>
      </c>
      <c r="X61" s="1">
        <v>0</v>
      </c>
      <c r="Y61" s="110" t="s">
        <v>93</v>
      </c>
      <c r="Z61" s="112">
        <v>100</v>
      </c>
      <c r="AA61" s="6"/>
    </row>
    <row r="62" spans="1:27" ht="15" customHeight="1" x14ac:dyDescent="0.25">
      <c r="A62" t="s">
        <v>128</v>
      </c>
      <c r="B62">
        <v>12</v>
      </c>
      <c r="C62" t="s">
        <v>136</v>
      </c>
      <c r="D62" t="s">
        <v>136</v>
      </c>
      <c r="E62" s="107">
        <v>1</v>
      </c>
      <c r="F62" t="s">
        <v>137</v>
      </c>
      <c r="G62" t="s">
        <v>137</v>
      </c>
      <c r="H62" s="3">
        <v>100</v>
      </c>
      <c r="I62" s="3">
        <v>100</v>
      </c>
      <c r="J62" s="106"/>
      <c r="K62" s="3">
        <v>100</v>
      </c>
      <c r="L62" s="1" t="s">
        <v>89</v>
      </c>
      <c r="M62" s="1">
        <v>2</v>
      </c>
      <c r="N62" s="1">
        <v>2</v>
      </c>
      <c r="O62" s="3">
        <v>100</v>
      </c>
      <c r="P62" s="110" t="s">
        <v>89</v>
      </c>
      <c r="Q62" s="106"/>
      <c r="R62" s="1">
        <v>3</v>
      </c>
      <c r="S62" s="1">
        <v>3</v>
      </c>
      <c r="T62" s="1" t="s">
        <v>90</v>
      </c>
      <c r="U62" s="3">
        <v>100</v>
      </c>
      <c r="V62" s="107">
        <v>3</v>
      </c>
      <c r="W62" s="1">
        <v>3</v>
      </c>
      <c r="X62" s="1">
        <v>3</v>
      </c>
      <c r="Y62" s="110" t="s">
        <v>90</v>
      </c>
      <c r="Z62" s="109">
        <f>(W62/X62)*100</f>
        <v>100</v>
      </c>
      <c r="AA62" s="6"/>
    </row>
    <row r="63" spans="1:27" ht="15" customHeight="1" x14ac:dyDescent="0.25">
      <c r="A63" t="s">
        <v>128</v>
      </c>
      <c r="B63">
        <v>2</v>
      </c>
      <c r="C63" t="s">
        <v>136</v>
      </c>
      <c r="D63" t="s">
        <v>136</v>
      </c>
      <c r="E63" s="107">
        <v>1</v>
      </c>
      <c r="F63" t="s">
        <v>135</v>
      </c>
      <c r="G63" t="s">
        <v>134</v>
      </c>
      <c r="H63" s="3">
        <v>83.3</v>
      </c>
      <c r="I63" s="111">
        <v>100</v>
      </c>
      <c r="J63" s="103" t="s">
        <v>133</v>
      </c>
      <c r="K63" s="3">
        <v>100</v>
      </c>
      <c r="L63" s="1" t="s">
        <v>89</v>
      </c>
      <c r="M63" s="1">
        <v>2</v>
      </c>
      <c r="N63" s="1">
        <v>2</v>
      </c>
      <c r="O63" s="3">
        <v>100</v>
      </c>
      <c r="P63" s="110" t="s">
        <v>89</v>
      </c>
      <c r="Q63" s="106"/>
      <c r="R63" s="1">
        <v>2</v>
      </c>
      <c r="S63" s="1">
        <v>2</v>
      </c>
      <c r="T63" s="1" t="s">
        <v>89</v>
      </c>
      <c r="U63" s="3">
        <v>100</v>
      </c>
      <c r="V63" s="107">
        <v>4</v>
      </c>
      <c r="W63" s="1">
        <v>2</v>
      </c>
      <c r="X63" s="1">
        <v>2</v>
      </c>
      <c r="Y63" s="110" t="s">
        <v>89</v>
      </c>
      <c r="Z63" s="109">
        <f>(W63/X63)*100</f>
        <v>100</v>
      </c>
      <c r="AA63" s="6"/>
    </row>
    <row r="64" spans="1:27" ht="15" customHeight="1" x14ac:dyDescent="0.25">
      <c r="A64" t="s">
        <v>128</v>
      </c>
      <c r="B64">
        <v>4</v>
      </c>
      <c r="C64" t="s">
        <v>127</v>
      </c>
      <c r="D64" t="s">
        <v>127</v>
      </c>
      <c r="E64" s="107">
        <v>1</v>
      </c>
      <c r="F64" t="s">
        <v>132</v>
      </c>
      <c r="G64" t="s">
        <v>132</v>
      </c>
      <c r="H64" s="3">
        <v>100</v>
      </c>
      <c r="I64" s="3">
        <v>100</v>
      </c>
      <c r="J64" s="106"/>
      <c r="K64" s="3">
        <v>100</v>
      </c>
      <c r="L64" s="1" t="s">
        <v>88</v>
      </c>
      <c r="M64" s="1">
        <v>4</v>
      </c>
      <c r="N64" s="1">
        <v>4</v>
      </c>
      <c r="O64" s="3">
        <v>100</v>
      </c>
      <c r="P64" s="110" t="s">
        <v>88</v>
      </c>
      <c r="Q64" s="106"/>
      <c r="R64" s="1">
        <v>2</v>
      </c>
      <c r="S64" s="1">
        <v>2</v>
      </c>
      <c r="T64" s="1" t="s">
        <v>89</v>
      </c>
      <c r="U64" s="3">
        <v>100</v>
      </c>
      <c r="V64" s="107">
        <v>6</v>
      </c>
      <c r="W64" s="1">
        <v>2</v>
      </c>
      <c r="X64" s="1">
        <v>2</v>
      </c>
      <c r="Y64" s="110" t="s">
        <v>89</v>
      </c>
      <c r="Z64" s="109">
        <f>(W64/X64)*100</f>
        <v>100</v>
      </c>
      <c r="AA64" s="6"/>
    </row>
    <row r="65" spans="1:27" ht="15" customHeight="1" x14ac:dyDescent="0.25">
      <c r="A65" t="s">
        <v>128</v>
      </c>
      <c r="B65">
        <v>7</v>
      </c>
      <c r="C65" t="s">
        <v>16</v>
      </c>
      <c r="D65" t="s">
        <v>16</v>
      </c>
      <c r="E65" s="107">
        <v>1</v>
      </c>
      <c r="F65" t="s">
        <v>131</v>
      </c>
      <c r="G65" t="s">
        <v>131</v>
      </c>
      <c r="H65" s="3">
        <v>100</v>
      </c>
      <c r="I65" s="3">
        <v>100</v>
      </c>
      <c r="J65" s="106"/>
      <c r="K65" s="3">
        <v>100</v>
      </c>
      <c r="L65" s="1" t="s">
        <v>130</v>
      </c>
      <c r="M65" s="1">
        <v>8</v>
      </c>
      <c r="N65" s="1">
        <v>8</v>
      </c>
      <c r="O65" s="3">
        <v>100</v>
      </c>
      <c r="P65" s="110" t="s">
        <v>88</v>
      </c>
      <c r="Q65" s="106"/>
      <c r="R65" s="1">
        <v>2</v>
      </c>
      <c r="S65" s="1">
        <v>4</v>
      </c>
      <c r="T65" s="1" t="s">
        <v>97</v>
      </c>
      <c r="U65" s="3">
        <v>50</v>
      </c>
      <c r="V65" s="107">
        <v>0</v>
      </c>
      <c r="W65" s="1">
        <v>2</v>
      </c>
      <c r="X65" s="1">
        <v>4</v>
      </c>
      <c r="Y65" s="110" t="s">
        <v>97</v>
      </c>
      <c r="Z65" s="109">
        <f>(W65/X65)*100</f>
        <v>50</v>
      </c>
      <c r="AA65" s="6" t="s">
        <v>129</v>
      </c>
    </row>
    <row r="66" spans="1:27" ht="15" customHeight="1" x14ac:dyDescent="0.25">
      <c r="A66" t="s">
        <v>128</v>
      </c>
      <c r="B66">
        <v>9</v>
      </c>
      <c r="C66" s="148" t="s">
        <v>127</v>
      </c>
      <c r="D66" t="s">
        <v>127</v>
      </c>
      <c r="E66" s="107">
        <v>1</v>
      </c>
      <c r="F66" t="s">
        <v>126</v>
      </c>
      <c r="G66" t="s">
        <v>126</v>
      </c>
      <c r="H66" s="3">
        <v>100</v>
      </c>
      <c r="I66" s="3">
        <v>100</v>
      </c>
      <c r="J66" s="106"/>
      <c r="K66" s="3">
        <v>25</v>
      </c>
      <c r="L66" s="1" t="s">
        <v>125</v>
      </c>
      <c r="M66" s="105">
        <v>3</v>
      </c>
      <c r="N66" s="105">
        <v>3</v>
      </c>
      <c r="O66" s="3">
        <v>100</v>
      </c>
      <c r="P66" s="104" t="s">
        <v>90</v>
      </c>
      <c r="Q66" s="103" t="s">
        <v>124</v>
      </c>
      <c r="R66" s="149">
        <v>0</v>
      </c>
      <c r="S66" s="149">
        <v>0</v>
      </c>
      <c r="T66" s="149" t="s">
        <v>93</v>
      </c>
      <c r="U66" s="150">
        <v>100</v>
      </c>
      <c r="V66" s="151">
        <v>2</v>
      </c>
      <c r="W66" s="149">
        <v>0</v>
      </c>
      <c r="X66" s="149">
        <v>0</v>
      </c>
      <c r="Y66" s="152" t="s">
        <v>93</v>
      </c>
      <c r="Z66" s="112">
        <v>100</v>
      </c>
      <c r="AA66" s="153"/>
    </row>
    <row r="67" spans="1:27" ht="15" customHeight="1" thickBot="1" x14ac:dyDescent="0.3">
      <c r="A67" s="99" t="s">
        <v>123</v>
      </c>
      <c r="B67" s="99"/>
      <c r="C67" s="99"/>
      <c r="D67" s="99"/>
      <c r="E67" s="160">
        <v>1</v>
      </c>
      <c r="F67" s="154"/>
      <c r="G67" s="99"/>
      <c r="H67" s="97" t="s">
        <v>122</v>
      </c>
      <c r="I67" s="157">
        <f>AVERAGE(I2:I66)</f>
        <v>99.692307692307693</v>
      </c>
      <c r="J67" s="98"/>
      <c r="K67" s="97" t="s">
        <v>121</v>
      </c>
      <c r="L67" s="97" t="s">
        <v>120</v>
      </c>
      <c r="M67" s="97">
        <f>SUM(M2:M66)</f>
        <v>204</v>
      </c>
      <c r="N67" s="97">
        <f>SUM(N2:N66)</f>
        <v>207</v>
      </c>
      <c r="O67" s="157">
        <f>M67/N67*100</f>
        <v>98.550724637681171</v>
      </c>
      <c r="P67" s="158" t="s">
        <v>119</v>
      </c>
      <c r="Q67" s="96"/>
      <c r="R67" s="97">
        <v>156</v>
      </c>
      <c r="S67" s="97">
        <v>177</v>
      </c>
      <c r="T67" s="97" t="s">
        <v>118</v>
      </c>
      <c r="U67" s="155">
        <v>88.135593220339004</v>
      </c>
      <c r="V67" s="156">
        <v>288</v>
      </c>
      <c r="W67" s="97">
        <f>SUM(W2:W66)</f>
        <v>168</v>
      </c>
      <c r="X67" s="97">
        <f>SUM(X2:X66)</f>
        <v>173</v>
      </c>
      <c r="Y67" s="158" t="s">
        <v>117</v>
      </c>
      <c r="Z67" s="159">
        <f>(W67/X67)*100</f>
        <v>97.109826589595372</v>
      </c>
      <c r="AA67" s="116"/>
    </row>
    <row r="68" spans="1:27" ht="15.75" thickTop="1" x14ac:dyDescent="0.25"/>
    <row r="69" spans="1:27" x14ac:dyDescent="0.25">
      <c r="N69" s="95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</vt:lpstr>
      <vt:lpstr>Q2</vt:lpstr>
      <vt:lpstr>Q2_Detailed_Results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Heiko Koziolek</cp:lastModifiedBy>
  <cp:lastPrinted>2025-09-27T09:13:57Z</cp:lastPrinted>
  <dcterms:created xsi:type="dcterms:W3CDTF">2025-09-10T15:48:18Z</dcterms:created>
  <dcterms:modified xsi:type="dcterms:W3CDTF">2025-10-07T07:59:40Z</dcterms:modified>
</cp:coreProperties>
</file>